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kig\OneDrive\Escritorio\Proyecto de Título\Mesa 5\Criterios\"/>
    </mc:Choice>
  </mc:AlternateContent>
  <xr:revisionPtr revIDLastSave="0" documentId="13_ncr:1_{D838FE95-4138-4848-83C0-0B81B5015CCE}" xr6:coauthVersionLast="47" xr6:coauthVersionMax="47" xr10:uidLastSave="{00000000-0000-0000-0000-000000000000}"/>
  <bookViews>
    <workbookView xWindow="-110" yWindow="-110" windowWidth="19420" windowHeight="10300" firstSheet="1" activeTab="4" xr2:uid="{95A40CD9-96E1-459D-BE96-640B7F52018E}"/>
  </bookViews>
  <sheets>
    <sheet name="Seguridad" sheetId="4" r:id="rId1"/>
    <sheet name="Costo Seguridad M5" sheetId="10" r:id="rId2"/>
    <sheet name="Costo Suelo" sheetId="6" r:id="rId3"/>
    <sheet name="Costo Proyecto" sheetId="12" r:id="rId4"/>
    <sheet name="Costo total 1 M5)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1" l="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3" i="11"/>
  <c r="H13" i="11"/>
  <c r="G4" i="11"/>
  <c r="G10" i="11"/>
  <c r="E3" i="10"/>
  <c r="E3" i="11" s="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3" i="11"/>
  <c r="C4" i="11"/>
  <c r="H4" i="11" s="1"/>
  <c r="C5" i="11"/>
  <c r="H5" i="11" s="1"/>
  <c r="C6" i="11"/>
  <c r="H6" i="11" s="1"/>
  <c r="C7" i="11"/>
  <c r="G7" i="11" s="1"/>
  <c r="C8" i="11"/>
  <c r="G8" i="11" s="1"/>
  <c r="C9" i="11"/>
  <c r="G9" i="11" s="1"/>
  <c r="C10" i="11"/>
  <c r="H10" i="11" s="1"/>
  <c r="C11" i="11"/>
  <c r="H11" i="11" s="1"/>
  <c r="C12" i="11"/>
  <c r="H12" i="11" s="1"/>
  <c r="C13" i="11"/>
  <c r="G13" i="11" s="1"/>
  <c r="C14" i="11"/>
  <c r="G14" i="11" s="1"/>
  <c r="C15" i="11"/>
  <c r="G15" i="11" s="1"/>
  <c r="C16" i="11"/>
  <c r="H16" i="11" s="1"/>
  <c r="C17" i="11"/>
  <c r="H17" i="11" s="1"/>
  <c r="C3" i="11"/>
  <c r="H3" i="11" s="1"/>
  <c r="N3" i="12"/>
  <c r="D7" i="10"/>
  <c r="E7" i="10" s="1"/>
  <c r="E7" i="11" s="1"/>
  <c r="K12" i="10"/>
  <c r="D12" i="10"/>
  <c r="E12" i="10" s="1"/>
  <c r="E12" i="11" s="1"/>
  <c r="D11" i="10"/>
  <c r="E11" i="10" s="1"/>
  <c r="E11" i="11" s="1"/>
  <c r="D10" i="10"/>
  <c r="E10" i="10" s="1"/>
  <c r="E10" i="11" s="1"/>
  <c r="D17" i="10"/>
  <c r="E17" i="10" s="1"/>
  <c r="E17" i="11" s="1"/>
  <c r="D3" i="10"/>
  <c r="D16" i="10"/>
  <c r="E16" i="10" s="1"/>
  <c r="E16" i="11" s="1"/>
  <c r="G16" i="11" s="1"/>
  <c r="D6" i="10"/>
  <c r="E6" i="10" s="1"/>
  <c r="E6" i="11" s="1"/>
  <c r="D8" i="10"/>
  <c r="E8" i="10" s="1"/>
  <c r="E8" i="11" s="1"/>
  <c r="D9" i="10"/>
  <c r="E9" i="10" s="1"/>
  <c r="E9" i="11" s="1"/>
  <c r="D15" i="10"/>
  <c r="E15" i="10" s="1"/>
  <c r="E15" i="11" s="1"/>
  <c r="D4" i="10"/>
  <c r="E4" i="10" s="1"/>
  <c r="E4" i="11" s="1"/>
  <c r="D14" i="10"/>
  <c r="E14" i="10" s="1"/>
  <c r="E14" i="11" s="1"/>
  <c r="D5" i="10"/>
  <c r="E5" i="10" s="1"/>
  <c r="E5" i="11" s="1"/>
  <c r="D13" i="10"/>
  <c r="E13" i="10" s="1"/>
  <c r="E13" i="11" s="1"/>
  <c r="B17" i="4"/>
  <c r="G3" i="11" l="1"/>
  <c r="G12" i="11"/>
  <c r="G6" i="11"/>
  <c r="H15" i="11"/>
  <c r="H9" i="11"/>
  <c r="G17" i="11"/>
  <c r="G11" i="11"/>
  <c r="G5" i="11"/>
  <c r="H14" i="11"/>
  <c r="H8" i="11"/>
  <c r="H7" i="11"/>
</calcChain>
</file>

<file path=xl/sharedStrings.xml><?xml version="1.0" encoding="utf-8"?>
<sst xmlns="http://schemas.openxmlformats.org/spreadsheetml/2006/main" count="113" uniqueCount="67">
  <si>
    <t>Placilla</t>
  </si>
  <si>
    <t>Laguna Verde</t>
  </si>
  <si>
    <t>Quebrada Verde</t>
  </si>
  <si>
    <t>Barón</t>
  </si>
  <si>
    <t>Unidad Vecinal</t>
  </si>
  <si>
    <t>Esperanza</t>
  </si>
  <si>
    <t>Placeres</t>
  </si>
  <si>
    <t>Padre Demian Molokai</t>
  </si>
  <si>
    <t>Rodelillo</t>
  </si>
  <si>
    <t>Baron</t>
  </si>
  <si>
    <t>Reina Isabel 2</t>
  </si>
  <si>
    <t>Jean y Marie Thierry</t>
  </si>
  <si>
    <t>Las Cañas</t>
  </si>
  <si>
    <t>Plaza Justicia</t>
  </si>
  <si>
    <t>Marcelo Mena</t>
  </si>
  <si>
    <t>Cordillera</t>
  </si>
  <si>
    <t>Puertas Negras</t>
  </si>
  <si>
    <t>Puertas negras</t>
  </si>
  <si>
    <t>Cantidad Denuncias Delitos graves</t>
  </si>
  <si>
    <t>Total</t>
  </si>
  <si>
    <t>Valor de suelo estimado ($/m²)</t>
  </si>
  <si>
    <t>Justificación</t>
  </si>
  <si>
    <t>Cercano a Av. España y borde costero; alta demanda urbana.</t>
  </si>
  <si>
    <t>Zona de cerro con pendiente; accesibilidad media.</t>
  </si>
  <si>
    <t>Cerro con menor centralidad; baja demanda inmobiliaria.</t>
  </si>
  <si>
    <t>Residencial, pendiente media, valor intermedio.</t>
  </si>
  <si>
    <t>Zona periférica, semi-rural; baja accesibilidad.</t>
  </si>
  <si>
    <t>Cerro, baja centralidad y accesibilidad.</t>
  </si>
  <si>
    <t>Residencial con mejor conectividad; valor medio-alto.</t>
  </si>
  <si>
    <t>Residencial, pero alejado; baja demanda.</t>
  </si>
  <si>
    <t>Conector Viña–Valpo, pero con pendiente alta.</t>
  </si>
  <si>
    <t>Expansión urbana, buena accesibilidad por Ruta 68.</t>
  </si>
  <si>
    <t>Plaza Justicia (Plan)</t>
  </si>
  <si>
    <t>Centro cívico, alta densidad y centralidad urbana.</t>
  </si>
  <si>
    <t>Periferia, vulnerabilidad alta, baja accesibilidad.</t>
  </si>
  <si>
    <t>Entorno natural, valor limitado por baja urbanización.</t>
  </si>
  <si>
    <t>Residencial consolidado, mediana accesibilidad.</t>
  </si>
  <si>
    <t>Densidad media, pendientes elevadas, accesibilidad media.</t>
  </si>
  <si>
    <t>Denuncias graves</t>
  </si>
  <si>
    <t>Costo cargador 2x11 kW</t>
  </si>
  <si>
    <t>Valor de suelo estimado ($/5m²)</t>
  </si>
  <si>
    <t>Categoria zona</t>
  </si>
  <si>
    <t>Peligrosa</t>
  </si>
  <si>
    <t>Media-Peligrosa</t>
  </si>
  <si>
    <t>Segura</t>
  </si>
  <si>
    <t>Media-Segura</t>
  </si>
  <si>
    <t>Cantidad delitos</t>
  </si>
  <si>
    <t>Catgoria</t>
  </si>
  <si>
    <t>Camaras</t>
  </si>
  <si>
    <t xml:space="preserve">Guardias </t>
  </si>
  <si>
    <t>Horas</t>
  </si>
  <si>
    <t>Cantidad</t>
  </si>
  <si>
    <t>Costos asociados</t>
  </si>
  <si>
    <t>Guardias</t>
  </si>
  <si>
    <t>Valor</t>
  </si>
  <si>
    <t>https://cl.indeed.com/career/guardia-de-seguridad-privada/salaries?utm_source=chatgpt.com</t>
  </si>
  <si>
    <t>https://chilevigila.cl/kit_camaras_de_seguridad_cctv-hd-ahd-ip-hibrido_8CH.html</t>
  </si>
  <si>
    <t>Costo</t>
  </si>
  <si>
    <t>Cant. Para hrs.</t>
  </si>
  <si>
    <t>Seguridad</t>
  </si>
  <si>
    <t>Cantidad/Horas</t>
  </si>
  <si>
    <t xml:space="preserve">Promedio </t>
  </si>
  <si>
    <t>Costo seguridad (CLP/mes)</t>
  </si>
  <si>
    <t>Duda sobre costo, consideramos costo de seguridad anual?</t>
  </si>
  <si>
    <t>Total 10 años</t>
  </si>
  <si>
    <t>Total 5 años</t>
  </si>
  <si>
    <t>Total 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</si>
</sst>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2D2D2D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2" fontId="3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14" xfId="0" applyFont="1" applyBorder="1" applyAlignment="1">
      <alignment horizontal="center" vertical="center"/>
    </xf>
    <xf numFmtId="42" fontId="6" fillId="0" borderId="10" xfId="1" applyFont="1" applyBorder="1"/>
    <xf numFmtId="42" fontId="5" fillId="0" borderId="15" xfId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42" fontId="0" fillId="0" borderId="0" xfId="1" applyFont="1"/>
    <xf numFmtId="42" fontId="0" fillId="0" borderId="0" xfId="0" applyNumberFormat="1"/>
    <xf numFmtId="42" fontId="0" fillId="0" borderId="12" xfId="1" applyFont="1" applyBorder="1" applyAlignment="1">
      <alignment horizontal="center" vertical="center" wrapText="1"/>
    </xf>
    <xf numFmtId="42" fontId="0" fillId="0" borderId="13" xfId="1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42" fontId="5" fillId="0" borderId="22" xfId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42" fontId="5" fillId="0" borderId="2" xfId="1" applyFont="1" applyBorder="1" applyAlignment="1">
      <alignment horizontal="center" vertical="center"/>
    </xf>
    <xf numFmtId="42" fontId="0" fillId="0" borderId="31" xfId="1" applyFont="1" applyBorder="1" applyAlignment="1">
      <alignment horizontal="center" vertical="center" wrapText="1"/>
    </xf>
    <xf numFmtId="42" fontId="0" fillId="0" borderId="37" xfId="1" applyFont="1" applyBorder="1" applyAlignment="1">
      <alignment horizontal="center" vertical="center"/>
    </xf>
    <xf numFmtId="42" fontId="0" fillId="0" borderId="38" xfId="1" applyFont="1" applyBorder="1" applyAlignment="1">
      <alignment horizontal="center" vertical="center" wrapText="1"/>
    </xf>
    <xf numFmtId="42" fontId="0" fillId="0" borderId="20" xfId="1" applyFont="1" applyBorder="1" applyAlignment="1">
      <alignment horizontal="center" vertical="center" wrapText="1"/>
    </xf>
    <xf numFmtId="42" fontId="0" fillId="0" borderId="11" xfId="1" applyFont="1" applyBorder="1" applyAlignment="1">
      <alignment horizontal="center" vertical="center"/>
    </xf>
    <xf numFmtId="42" fontId="0" fillId="0" borderId="16" xfId="1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17"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152400</xdr:colOff>
      <xdr:row>25</xdr:row>
      <xdr:rowOff>113803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004F8F-8F3E-B9DE-B381-6C1AD10D9E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84150"/>
          <a:ext cx="7772400" cy="453340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27A8907-8745-4D7B-806E-1833F54183BA}" name="Tabla5" displayName="Tabla5" ref="A1:B17" totalsRowCount="1" headerRowDxfId="16" tableBorderDxfId="15">
  <autoFilter ref="A1:B16" xr:uid="{D27A8907-8745-4D7B-806E-1833F54183BA}"/>
  <tableColumns count="2">
    <tableColumn id="1" xr3:uid="{C2B599ED-8BA5-482C-B3CF-39FC0D3ABFF7}" name="Unidad Vecinal" totalsRowLabel="Total" dataDxfId="14" totalsRowDxfId="13"/>
    <tableColumn id="2" xr3:uid="{3A3E096A-0F08-49B6-8571-B346A7258824}" name="Cantidad Denuncias Delitos graves" totalsRowFunction="sum" dataDxfId="12" totalsRowDxfId="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74BD93-7F15-46E4-A4F3-92909BF934E7}" name="Tabla1" displayName="Tabla1" ref="B2:E17" totalsRowShown="0" headerRowBorderDxfId="10" tableBorderDxfId="9" totalsRowBorderDxfId="8">
  <autoFilter ref="B2:E17" xr:uid="{B874BD93-7F15-46E4-A4F3-92909BF934E7}"/>
  <sortState xmlns:xlrd2="http://schemas.microsoft.com/office/spreadsheetml/2017/richdata2" ref="B3:E17">
    <sortCondition ref="B2:B17"/>
  </sortState>
  <tableColumns count="4">
    <tableColumn id="1" xr3:uid="{DEE87D21-C526-4402-AD53-84C25868231B}" name="Unidad Vecinal" dataDxfId="7"/>
    <tableColumn id="2" xr3:uid="{8655C74A-6C8E-41E8-A2FA-2C0437E4A906}" name="Denuncias graves" dataDxfId="6"/>
    <tableColumn id="3" xr3:uid="{721EA286-BD11-412E-B8E9-7ED98EF7A04E}" name="Catgoria" dataDxfId="5">
      <calculatedColumnFormula>IF(C3&lt;=$K$5,$I$5,IF(C3&lt;=$K$6,$I$6,IF(C3&lt;=$K$7,$I$7,IF(C3&lt;=$K$8,$I$8))))</calculatedColumnFormula>
    </tableColumn>
    <tableColumn id="4" xr3:uid="{EC35539F-292A-46DB-88C1-5CE0778E0B0F}" name="Costo" dataDxfId="4" dataCellStyle="Moneda [0]">
      <calculatedColumnFormula>IF(D3=$I$5,$L$5*$K$12+$K$13*$O$5,IF(D3=$I$6,$L$6*$K$12+$K$13*$O$6,IF(D3=$I$7,$L$7*$K$12+$K$13*$O$7,IF(D3=$I$8,$L$8*$K$12+$K$13*$O$8))))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B1D2D-3173-411C-ADA6-B0FCAF4EA6DA}">
  <dimension ref="A1:B17"/>
  <sheetViews>
    <sheetView workbookViewId="0">
      <selection activeCell="F15" sqref="F15"/>
    </sheetView>
  </sheetViews>
  <sheetFormatPr baseColWidth="10" defaultRowHeight="14.5" x14ac:dyDescent="0.35"/>
  <cols>
    <col min="1" max="1" width="18.90625" style="1" bestFit="1" customWidth="1"/>
    <col min="2" max="2" width="31.90625" style="1" customWidth="1"/>
    <col min="3" max="16384" width="10.90625" style="1"/>
  </cols>
  <sheetData>
    <row r="1" spans="1:2" x14ac:dyDescent="0.35">
      <c r="A1" s="8" t="s">
        <v>4</v>
      </c>
      <c r="B1" s="9" t="s">
        <v>18</v>
      </c>
    </row>
    <row r="2" spans="1:2" x14ac:dyDescent="0.35">
      <c r="A2" s="4" t="s">
        <v>1</v>
      </c>
      <c r="B2" s="2">
        <v>614</v>
      </c>
    </row>
    <row r="3" spans="1:2" x14ac:dyDescent="0.35">
      <c r="A3" s="5" t="s">
        <v>0</v>
      </c>
      <c r="B3" s="3">
        <v>1218</v>
      </c>
    </row>
    <row r="4" spans="1:2" x14ac:dyDescent="0.35">
      <c r="A4" s="10" t="s">
        <v>6</v>
      </c>
      <c r="B4" s="2">
        <v>1424</v>
      </c>
    </row>
    <row r="5" spans="1:2" x14ac:dyDescent="0.35">
      <c r="A5" s="6" t="s">
        <v>7</v>
      </c>
      <c r="B5" s="3">
        <v>1837</v>
      </c>
    </row>
    <row r="6" spans="1:2" x14ac:dyDescent="0.35">
      <c r="A6" s="10" t="s">
        <v>8</v>
      </c>
      <c r="B6" s="2">
        <v>2256</v>
      </c>
    </row>
    <row r="7" spans="1:2" x14ac:dyDescent="0.35">
      <c r="A7" s="6" t="s">
        <v>9</v>
      </c>
      <c r="B7" s="3">
        <v>804</v>
      </c>
    </row>
    <row r="8" spans="1:2" x14ac:dyDescent="0.35">
      <c r="A8" s="4" t="s">
        <v>10</v>
      </c>
      <c r="B8" s="2">
        <v>2814</v>
      </c>
    </row>
    <row r="9" spans="1:2" x14ac:dyDescent="0.35">
      <c r="A9" s="6" t="s">
        <v>11</v>
      </c>
      <c r="B9" s="3">
        <v>996</v>
      </c>
    </row>
    <row r="10" spans="1:2" x14ac:dyDescent="0.35">
      <c r="A10" s="10" t="s">
        <v>12</v>
      </c>
      <c r="B10" s="2">
        <v>482</v>
      </c>
    </row>
    <row r="11" spans="1:2" x14ac:dyDescent="0.35">
      <c r="A11" s="7" t="s">
        <v>14</v>
      </c>
      <c r="B11" s="3">
        <v>1830</v>
      </c>
    </row>
    <row r="12" spans="1:2" x14ac:dyDescent="0.35">
      <c r="A12" s="10" t="s">
        <v>2</v>
      </c>
      <c r="B12" s="2">
        <v>3116</v>
      </c>
    </row>
    <row r="13" spans="1:2" x14ac:dyDescent="0.35">
      <c r="A13" s="7" t="s">
        <v>15</v>
      </c>
      <c r="B13" s="3">
        <v>1469</v>
      </c>
    </row>
    <row r="14" spans="1:2" x14ac:dyDescent="0.35">
      <c r="A14" s="10" t="s">
        <v>17</v>
      </c>
      <c r="B14" s="2">
        <v>747</v>
      </c>
    </row>
    <row r="15" spans="1:2" x14ac:dyDescent="0.35">
      <c r="A15" s="6" t="s">
        <v>5</v>
      </c>
      <c r="B15" s="3">
        <v>417</v>
      </c>
    </row>
    <row r="16" spans="1:2" x14ac:dyDescent="0.35">
      <c r="A16" s="4" t="s">
        <v>13</v>
      </c>
      <c r="B16" s="2">
        <v>9477</v>
      </c>
    </row>
    <row r="17" spans="1:2" x14ac:dyDescent="0.35">
      <c r="A17" s="12" t="s">
        <v>19</v>
      </c>
      <c r="B17" s="11">
        <f>SUBTOTAL(109,Tabla5[Cantidad Denuncias Delitos graves])</f>
        <v>29501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80A20-7CD7-499C-9A79-527EB7E48D81}">
  <dimension ref="B2:O17"/>
  <sheetViews>
    <sheetView topLeftCell="B1" zoomScale="81" workbookViewId="0">
      <selection activeCell="K21" sqref="K21"/>
    </sheetView>
  </sheetViews>
  <sheetFormatPr baseColWidth="10" defaultRowHeight="14" x14ac:dyDescent="0.35"/>
  <cols>
    <col min="1" max="1" width="4.1796875" style="18" customWidth="1"/>
    <col min="2" max="2" width="25.08984375" style="18" customWidth="1"/>
    <col min="3" max="3" width="17.81640625" style="18" customWidth="1"/>
    <col min="4" max="4" width="13.81640625" style="18" bestFit="1" customWidth="1"/>
    <col min="5" max="5" width="11.26953125" style="18" customWidth="1"/>
    <col min="6" max="8" width="10.90625" style="18"/>
    <col min="9" max="9" width="13.81640625" style="18" bestFit="1" customWidth="1"/>
    <col min="10" max="10" width="15.6328125" style="18" customWidth="1"/>
    <col min="11" max="11" width="13.26953125" style="18" customWidth="1"/>
    <col min="12" max="14" width="10.90625" style="18"/>
    <col min="15" max="15" width="12.6328125" style="18" bestFit="1" customWidth="1"/>
    <col min="16" max="16384" width="10.90625" style="18"/>
  </cols>
  <sheetData>
    <row r="2" spans="2:15" ht="14.5" thickBot="1" x14ac:dyDescent="0.4">
      <c r="B2" s="53" t="s">
        <v>4</v>
      </c>
      <c r="C2" s="54" t="s">
        <v>38</v>
      </c>
      <c r="D2" s="55" t="s">
        <v>47</v>
      </c>
      <c r="E2" s="56" t="s">
        <v>57</v>
      </c>
    </row>
    <row r="3" spans="2:15" ht="14.5" thickBot="1" x14ac:dyDescent="0.4">
      <c r="B3" s="51" t="s">
        <v>3</v>
      </c>
      <c r="C3" s="43">
        <v>804</v>
      </c>
      <c r="D3" s="19" t="str">
        <f t="shared" ref="D3:D17" si="0">IF(C3&lt;=$K$5,$I$5,IF(C3&lt;=$K$6,$I$6,IF(C3&lt;=$K$7,$I$7,IF(C3&lt;=$K$8,$I$8))))</f>
        <v>Media-Segura</v>
      </c>
      <c r="E3" s="52">
        <f t="shared" ref="E3:E17" si="1">IF(D3=$I$5,$L$5*$K$12+$K$13*$O$5,IF(D3=$I$6,$L$6*$K$12+$K$13*$O$6,IF(D3=$I$7,$L$7*$K$12+$K$13*$O$7,IF(D3=$I$8,$L$8*$K$12+$K$13*$O$8))))</f>
        <v>1312158.05</v>
      </c>
      <c r="M3" s="69" t="s">
        <v>49</v>
      </c>
      <c r="N3" s="70"/>
      <c r="O3" s="71"/>
    </row>
    <row r="4" spans="2:15" ht="14.5" thickBot="1" x14ac:dyDescent="0.4">
      <c r="B4" s="51" t="s">
        <v>15</v>
      </c>
      <c r="C4" s="43">
        <v>1469</v>
      </c>
      <c r="D4" s="19" t="str">
        <f t="shared" si="0"/>
        <v>Media-Segura</v>
      </c>
      <c r="E4" s="52">
        <f t="shared" si="1"/>
        <v>1312158.05</v>
      </c>
      <c r="I4" s="24" t="s">
        <v>41</v>
      </c>
      <c r="J4" s="67" t="s">
        <v>46</v>
      </c>
      <c r="K4" s="68"/>
      <c r="L4" s="40" t="s">
        <v>48</v>
      </c>
      <c r="M4" s="40" t="s">
        <v>51</v>
      </c>
      <c r="N4" s="40" t="s">
        <v>50</v>
      </c>
      <c r="O4" s="40" t="s">
        <v>58</v>
      </c>
    </row>
    <row r="5" spans="2:15" ht="14.5" thickBot="1" x14ac:dyDescent="0.4">
      <c r="B5" s="51" t="s">
        <v>5</v>
      </c>
      <c r="C5" s="43">
        <v>417</v>
      </c>
      <c r="D5" s="19" t="str">
        <f t="shared" si="0"/>
        <v>Segura</v>
      </c>
      <c r="E5" s="52">
        <f t="shared" si="1"/>
        <v>754251.05</v>
      </c>
      <c r="I5" s="26" t="s">
        <v>44</v>
      </c>
      <c r="J5" s="25">
        <v>0</v>
      </c>
      <c r="K5" s="32">
        <v>800</v>
      </c>
      <c r="L5" s="20">
        <v>2</v>
      </c>
      <c r="M5" s="35">
        <v>1</v>
      </c>
      <c r="N5" s="35">
        <v>8</v>
      </c>
      <c r="O5" s="36">
        <v>1</v>
      </c>
    </row>
    <row r="6" spans="2:15" ht="14.5" thickBot="1" x14ac:dyDescent="0.4">
      <c r="B6" s="51" t="s">
        <v>11</v>
      </c>
      <c r="C6" s="43">
        <v>996</v>
      </c>
      <c r="D6" s="19" t="str">
        <f t="shared" si="0"/>
        <v>Media-Segura</v>
      </c>
      <c r="E6" s="52">
        <f t="shared" si="1"/>
        <v>1312158.05</v>
      </c>
      <c r="I6" s="28" t="s">
        <v>45</v>
      </c>
      <c r="J6" s="27">
        <v>801</v>
      </c>
      <c r="K6" s="33">
        <v>1600</v>
      </c>
      <c r="L6" s="37">
        <v>2</v>
      </c>
      <c r="M6" s="19">
        <v>1</v>
      </c>
      <c r="N6" s="19">
        <v>16</v>
      </c>
      <c r="O6" s="21">
        <v>2</v>
      </c>
    </row>
    <row r="7" spans="2:15" ht="14.5" thickBot="1" x14ac:dyDescent="0.4">
      <c r="B7" s="51" t="s">
        <v>1</v>
      </c>
      <c r="C7" s="43">
        <v>614</v>
      </c>
      <c r="D7" s="19" t="str">
        <f t="shared" si="0"/>
        <v>Segura</v>
      </c>
      <c r="E7" s="52">
        <f t="shared" si="1"/>
        <v>754251.05</v>
      </c>
      <c r="I7" s="29" t="s">
        <v>43</v>
      </c>
      <c r="J7" s="27">
        <v>1601</v>
      </c>
      <c r="K7" s="33">
        <v>3000</v>
      </c>
      <c r="L7" s="37">
        <v>4</v>
      </c>
      <c r="M7" s="19">
        <v>2</v>
      </c>
      <c r="N7" s="19">
        <v>24</v>
      </c>
      <c r="O7" s="21">
        <v>6</v>
      </c>
    </row>
    <row r="8" spans="2:15" ht="14.5" thickBot="1" x14ac:dyDescent="0.4">
      <c r="B8" s="51" t="s">
        <v>12</v>
      </c>
      <c r="C8" s="43">
        <v>482</v>
      </c>
      <c r="D8" s="19" t="str">
        <f t="shared" si="0"/>
        <v>Segura</v>
      </c>
      <c r="E8" s="52">
        <f t="shared" si="1"/>
        <v>754251.05</v>
      </c>
      <c r="I8" s="31" t="s">
        <v>42</v>
      </c>
      <c r="J8" s="30">
        <v>3000</v>
      </c>
      <c r="K8" s="34">
        <v>9500</v>
      </c>
      <c r="L8" s="38">
        <v>4</v>
      </c>
      <c r="M8" s="22">
        <v>3</v>
      </c>
      <c r="N8" s="22">
        <v>24</v>
      </c>
      <c r="O8" s="23">
        <v>9</v>
      </c>
    </row>
    <row r="9" spans="2:15" ht="14.5" thickBot="1" x14ac:dyDescent="0.4">
      <c r="B9" s="51" t="s">
        <v>14</v>
      </c>
      <c r="C9" s="43">
        <v>1830</v>
      </c>
      <c r="D9" s="19" t="str">
        <f t="shared" si="0"/>
        <v>Media-Peligrosa</v>
      </c>
      <c r="E9" s="52">
        <f t="shared" si="1"/>
        <v>3740130.1</v>
      </c>
    </row>
    <row r="10" spans="2:15" ht="14.5" thickBot="1" x14ac:dyDescent="0.4">
      <c r="B10" s="51" t="s">
        <v>7</v>
      </c>
      <c r="C10" s="43">
        <v>1837</v>
      </c>
      <c r="D10" s="19" t="str">
        <f t="shared" si="0"/>
        <v>Media-Peligrosa</v>
      </c>
      <c r="E10" s="52">
        <f t="shared" si="1"/>
        <v>3740130.1</v>
      </c>
      <c r="I10" s="72" t="s">
        <v>52</v>
      </c>
      <c r="J10" s="73"/>
      <c r="K10" s="74"/>
    </row>
    <row r="11" spans="2:15" ht="14.5" thickBot="1" x14ac:dyDescent="0.4">
      <c r="B11" s="51" t="s">
        <v>6</v>
      </c>
      <c r="C11" s="43">
        <v>1424</v>
      </c>
      <c r="D11" s="19" t="str">
        <f t="shared" si="0"/>
        <v>Media-Segura</v>
      </c>
      <c r="E11" s="52">
        <f t="shared" si="1"/>
        <v>1312158.05</v>
      </c>
      <c r="I11" s="24" t="s">
        <v>59</v>
      </c>
      <c r="J11" s="24" t="s">
        <v>60</v>
      </c>
      <c r="K11" s="24" t="s">
        <v>54</v>
      </c>
    </row>
    <row r="12" spans="2:15" ht="14.5" thickBot="1" x14ac:dyDescent="0.4">
      <c r="B12" s="51" t="s">
        <v>0</v>
      </c>
      <c r="C12" s="43">
        <v>1218</v>
      </c>
      <c r="D12" s="19" t="str">
        <f t="shared" si="0"/>
        <v>Media-Segura</v>
      </c>
      <c r="E12" s="52">
        <f t="shared" si="1"/>
        <v>1312158.05</v>
      </c>
      <c r="I12" s="24" t="s">
        <v>48</v>
      </c>
      <c r="J12" s="25">
        <v>1</v>
      </c>
      <c r="K12" s="42">
        <f>82497.5*1.19</f>
        <v>98172.024999999994</v>
      </c>
      <c r="L12" s="39"/>
      <c r="M12" s="39" t="s">
        <v>56</v>
      </c>
    </row>
    <row r="13" spans="2:15" ht="14.5" thickBot="1" x14ac:dyDescent="0.35">
      <c r="B13" s="51" t="s">
        <v>13</v>
      </c>
      <c r="C13" s="43">
        <v>9477</v>
      </c>
      <c r="D13" s="19" t="str">
        <f t="shared" si="0"/>
        <v>Peligrosa</v>
      </c>
      <c r="E13" s="52">
        <f t="shared" si="1"/>
        <v>5413851.0999999996</v>
      </c>
      <c r="I13" s="24" t="s">
        <v>53</v>
      </c>
      <c r="J13" s="30">
        <v>8</v>
      </c>
      <c r="K13" s="41">
        <v>557907</v>
      </c>
      <c r="L13" s="39"/>
      <c r="M13" s="39" t="s">
        <v>55</v>
      </c>
    </row>
    <row r="14" spans="2:15" x14ac:dyDescent="0.35">
      <c r="B14" s="51" t="s">
        <v>16</v>
      </c>
      <c r="C14" s="43">
        <v>747</v>
      </c>
      <c r="D14" s="19" t="str">
        <f t="shared" si="0"/>
        <v>Segura</v>
      </c>
      <c r="E14" s="52">
        <f t="shared" si="1"/>
        <v>754251.05</v>
      </c>
    </row>
    <row r="15" spans="2:15" x14ac:dyDescent="0.35">
      <c r="B15" s="51" t="s">
        <v>2</v>
      </c>
      <c r="C15" s="43">
        <v>3116</v>
      </c>
      <c r="D15" s="19" t="str">
        <f t="shared" si="0"/>
        <v>Peligrosa</v>
      </c>
      <c r="E15" s="52">
        <f t="shared" si="1"/>
        <v>5413851.0999999996</v>
      </c>
    </row>
    <row r="16" spans="2:15" x14ac:dyDescent="0.35">
      <c r="B16" s="51" t="s">
        <v>10</v>
      </c>
      <c r="C16" s="43">
        <v>2814</v>
      </c>
      <c r="D16" s="19" t="str">
        <f t="shared" si="0"/>
        <v>Media-Peligrosa</v>
      </c>
      <c r="E16" s="52">
        <f t="shared" si="1"/>
        <v>3740130.1</v>
      </c>
    </row>
    <row r="17" spans="2:5" x14ac:dyDescent="0.35">
      <c r="B17" s="57" t="s">
        <v>8</v>
      </c>
      <c r="C17" s="58">
        <v>2256</v>
      </c>
      <c r="D17" s="59" t="str">
        <f t="shared" si="0"/>
        <v>Media-Peligrosa</v>
      </c>
      <c r="E17" s="60">
        <f t="shared" si="1"/>
        <v>3740130.1</v>
      </c>
    </row>
  </sheetData>
  <mergeCells count="3">
    <mergeCell ref="J4:K4"/>
    <mergeCell ref="M3:O3"/>
    <mergeCell ref="I10:K10"/>
  </mergeCells>
  <conditionalFormatting sqref="D2:D17">
    <cfRule type="cellIs" dxfId="3" priority="1" operator="equal">
      <formula>"Peligrosa"</formula>
    </cfRule>
    <cfRule type="cellIs" dxfId="2" priority="2" operator="equal">
      <formula>"Media-Peligrosa"</formula>
    </cfRule>
    <cfRule type="cellIs" dxfId="1" priority="3" operator="equal">
      <formula>"Media-Segura"</formula>
    </cfRule>
    <cfRule type="cellIs" dxfId="0" priority="4" operator="equal">
      <formula>"Segura"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570D9-69E1-4F9E-94C0-C10C127FBDE7}">
  <dimension ref="A1:C16"/>
  <sheetViews>
    <sheetView zoomScale="68" workbookViewId="0">
      <selection activeCell="A2" sqref="A2:A16"/>
    </sheetView>
  </sheetViews>
  <sheetFormatPr baseColWidth="10" defaultRowHeight="14.5" x14ac:dyDescent="0.35"/>
  <cols>
    <col min="1" max="1" width="18.54296875" style="1" customWidth="1"/>
    <col min="2" max="2" width="28.453125" style="1" customWidth="1"/>
    <col min="3" max="3" width="41.7265625" style="1" customWidth="1"/>
    <col min="4" max="16384" width="10.90625" style="1"/>
  </cols>
  <sheetData>
    <row r="1" spans="1:3" x14ac:dyDescent="0.35">
      <c r="A1" s="14" t="s">
        <v>4</v>
      </c>
      <c r="B1" s="14" t="s">
        <v>20</v>
      </c>
      <c r="C1" s="14" t="s">
        <v>21</v>
      </c>
    </row>
    <row r="2" spans="1:3" ht="29" x14ac:dyDescent="0.35">
      <c r="A2" s="14" t="s">
        <v>3</v>
      </c>
      <c r="B2" s="15">
        <v>490000</v>
      </c>
      <c r="C2" s="13" t="s">
        <v>22</v>
      </c>
    </row>
    <row r="3" spans="1:3" x14ac:dyDescent="0.35">
      <c r="A3" s="14" t="s">
        <v>15</v>
      </c>
      <c r="B3" s="15">
        <v>210000</v>
      </c>
      <c r="C3" s="13" t="s">
        <v>23</v>
      </c>
    </row>
    <row r="4" spans="1:3" ht="29" x14ac:dyDescent="0.35">
      <c r="A4" s="14" t="s">
        <v>5</v>
      </c>
      <c r="B4" s="15">
        <v>170000</v>
      </c>
      <c r="C4" s="13" t="s">
        <v>24</v>
      </c>
    </row>
    <row r="5" spans="1:3" x14ac:dyDescent="0.35">
      <c r="A5" s="14" t="s">
        <v>11</v>
      </c>
      <c r="B5" s="15">
        <v>250000</v>
      </c>
      <c r="C5" s="13" t="s">
        <v>25</v>
      </c>
    </row>
    <row r="6" spans="1:3" x14ac:dyDescent="0.35">
      <c r="A6" s="14" t="s">
        <v>1</v>
      </c>
      <c r="B6" s="15">
        <v>50000</v>
      </c>
      <c r="C6" s="13" t="s">
        <v>26</v>
      </c>
    </row>
    <row r="7" spans="1:3" x14ac:dyDescent="0.35">
      <c r="A7" s="14" t="s">
        <v>12</v>
      </c>
      <c r="B7" s="15">
        <v>140000</v>
      </c>
      <c r="C7" s="13" t="s">
        <v>27</v>
      </c>
    </row>
    <row r="8" spans="1:3" ht="29" x14ac:dyDescent="0.35">
      <c r="A8" s="14" t="s">
        <v>14</v>
      </c>
      <c r="B8" s="15">
        <v>170000</v>
      </c>
      <c r="C8" s="13" t="s">
        <v>28</v>
      </c>
    </row>
    <row r="9" spans="1:3" ht="29" x14ac:dyDescent="0.35">
      <c r="A9" s="14" t="s">
        <v>7</v>
      </c>
      <c r="B9" s="15">
        <v>210000</v>
      </c>
      <c r="C9" s="13" t="s">
        <v>29</v>
      </c>
    </row>
    <row r="10" spans="1:3" x14ac:dyDescent="0.35">
      <c r="A10" s="14" t="s">
        <v>6</v>
      </c>
      <c r="B10" s="15">
        <v>420000</v>
      </c>
      <c r="C10" s="13" t="s">
        <v>30</v>
      </c>
    </row>
    <row r="11" spans="1:3" ht="29" x14ac:dyDescent="0.35">
      <c r="A11" s="14" t="s">
        <v>0</v>
      </c>
      <c r="B11" s="15">
        <v>115000</v>
      </c>
      <c r="C11" s="13" t="s">
        <v>31</v>
      </c>
    </row>
    <row r="12" spans="1:3" x14ac:dyDescent="0.35">
      <c r="A12" s="14" t="s">
        <v>32</v>
      </c>
      <c r="B12" s="15">
        <v>1120000</v>
      </c>
      <c r="C12" s="13" t="s">
        <v>33</v>
      </c>
    </row>
    <row r="13" spans="1:3" x14ac:dyDescent="0.35">
      <c r="A13" s="14" t="s">
        <v>16</v>
      </c>
      <c r="B13" s="15">
        <v>125000</v>
      </c>
      <c r="C13" s="13" t="s">
        <v>34</v>
      </c>
    </row>
    <row r="14" spans="1:3" ht="29" x14ac:dyDescent="0.35">
      <c r="A14" s="14" t="s">
        <v>2</v>
      </c>
      <c r="B14" s="15">
        <v>85000</v>
      </c>
      <c r="C14" s="13" t="s">
        <v>35</v>
      </c>
    </row>
    <row r="15" spans="1:3" x14ac:dyDescent="0.35">
      <c r="A15" s="14" t="s">
        <v>10</v>
      </c>
      <c r="B15" s="15">
        <v>280000</v>
      </c>
      <c r="C15" s="13" t="s">
        <v>36</v>
      </c>
    </row>
    <row r="16" spans="1:3" ht="29" x14ac:dyDescent="0.35">
      <c r="A16" s="14" t="s">
        <v>8</v>
      </c>
      <c r="B16" s="15">
        <v>180000</v>
      </c>
      <c r="C16" s="13" t="s"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AE12E-1399-4EF5-80C8-473D572C7343}">
  <dimension ref="M2:O3"/>
  <sheetViews>
    <sheetView zoomScale="69" workbookViewId="0">
      <selection activeCell="N4" sqref="N4"/>
    </sheetView>
  </sheetViews>
  <sheetFormatPr baseColWidth="10" defaultRowHeight="14.5" x14ac:dyDescent="0.35"/>
  <cols>
    <col min="14" max="15" width="11.6328125" bestFit="1" customWidth="1"/>
  </cols>
  <sheetData>
    <row r="2" spans="13:15" x14ac:dyDescent="0.35">
      <c r="N2" s="44">
        <v>9432217</v>
      </c>
      <c r="O2" s="44">
        <v>11083371</v>
      </c>
    </row>
    <row r="3" spans="13:15" x14ac:dyDescent="0.35">
      <c r="M3" t="s">
        <v>61</v>
      </c>
      <c r="N3" s="45">
        <f>(N2+O2)/2</f>
        <v>10257794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2143C-804D-452C-99AA-6F43DFB1260F}">
  <dimension ref="B1:J17"/>
  <sheetViews>
    <sheetView tabSelected="1" zoomScale="118" workbookViewId="0">
      <selection activeCell="H19" sqref="H19"/>
    </sheetView>
  </sheetViews>
  <sheetFormatPr baseColWidth="10" defaultRowHeight="14.5" x14ac:dyDescent="0.35"/>
  <cols>
    <col min="1" max="1" width="2.90625" style="1" customWidth="1"/>
    <col min="2" max="2" width="25.08984375" style="1" customWidth="1"/>
    <col min="3" max="3" width="14.36328125" style="1" customWidth="1"/>
    <col min="4" max="4" width="15.1796875" style="1" customWidth="1"/>
    <col min="5" max="5" width="13.90625" style="1" customWidth="1"/>
    <col min="6" max="6" width="12.08984375" style="1" bestFit="1" customWidth="1"/>
    <col min="7" max="8" width="13.08984375" style="1" bestFit="1" customWidth="1"/>
    <col min="9" max="9" width="10.90625" style="1"/>
    <col min="10" max="10" width="49.1796875" style="1" bestFit="1" customWidth="1"/>
    <col min="11" max="16384" width="10.90625" style="1"/>
  </cols>
  <sheetData>
    <row r="1" spans="2:10" ht="15" thickBot="1" x14ac:dyDescent="0.4"/>
    <row r="2" spans="2:10" ht="44" thickBot="1" x14ac:dyDescent="0.4">
      <c r="B2" s="17" t="s">
        <v>4</v>
      </c>
      <c r="C2" s="16" t="s">
        <v>39</v>
      </c>
      <c r="D2" s="17" t="s">
        <v>40</v>
      </c>
      <c r="E2" s="17" t="s">
        <v>62</v>
      </c>
      <c r="F2" s="17" t="s">
        <v>66</v>
      </c>
      <c r="G2" s="17" t="s">
        <v>65</v>
      </c>
      <c r="H2" s="17" t="s">
        <v>64</v>
      </c>
      <c r="J2" s="1" t="s">
        <v>63</v>
      </c>
    </row>
    <row r="3" spans="2:10" ht="15" thickBot="1" x14ac:dyDescent="0.4">
      <c r="B3" s="48" t="s">
        <v>3</v>
      </c>
      <c r="C3" s="65">
        <f>'Costo Proyecto'!$N$3</f>
        <v>10257794</v>
      </c>
      <c r="D3" s="46">
        <f>'Costo Suelo'!B2*5</f>
        <v>2450000</v>
      </c>
      <c r="E3" s="46">
        <f>'Costo Seguridad M5'!E3</f>
        <v>1312158.05</v>
      </c>
      <c r="F3" s="63">
        <f>C3+D3+E3*12</f>
        <v>28453690.600000001</v>
      </c>
      <c r="G3" s="47">
        <f>C3+D3+E3*60</f>
        <v>91437277</v>
      </c>
      <c r="H3" s="47">
        <f>C3+D3+E3*120</f>
        <v>170166760</v>
      </c>
    </row>
    <row r="4" spans="2:10" ht="15" thickBot="1" x14ac:dyDescent="0.4">
      <c r="B4" s="49" t="s">
        <v>15</v>
      </c>
      <c r="C4" s="65">
        <f>'Costo Proyecto'!$N$3</f>
        <v>10257794</v>
      </c>
      <c r="D4" s="46">
        <f>'Costo Suelo'!B3*5</f>
        <v>1050000</v>
      </c>
      <c r="E4" s="46">
        <f>'Costo Seguridad M5'!E4</f>
        <v>1312158.05</v>
      </c>
      <c r="F4" s="63">
        <f t="shared" ref="F4:F17" si="0">C4+D4+E4*12</f>
        <v>27053690.600000001</v>
      </c>
      <c r="G4" s="47">
        <f t="shared" ref="G4:G17" si="1">C4+D4+E4*60</f>
        <v>90037277</v>
      </c>
      <c r="H4" s="47">
        <f t="shared" ref="H4:H17" si="2">C4+D4+E4*120</f>
        <v>168766760</v>
      </c>
    </row>
    <row r="5" spans="2:10" ht="15" thickBot="1" x14ac:dyDescent="0.4">
      <c r="B5" s="49" t="s">
        <v>5</v>
      </c>
      <c r="C5" s="65">
        <f>'Costo Proyecto'!$N$3</f>
        <v>10257794</v>
      </c>
      <c r="D5" s="46">
        <f>'Costo Suelo'!B4*5</f>
        <v>850000</v>
      </c>
      <c r="E5" s="46">
        <f>'Costo Seguridad M5'!E5</f>
        <v>754251.05</v>
      </c>
      <c r="F5" s="63">
        <f t="shared" si="0"/>
        <v>20158806.600000001</v>
      </c>
      <c r="G5" s="47">
        <f t="shared" si="1"/>
        <v>56362857</v>
      </c>
      <c r="H5" s="47">
        <f t="shared" si="2"/>
        <v>101617920</v>
      </c>
    </row>
    <row r="6" spans="2:10" ht="15" thickBot="1" x14ac:dyDescent="0.4">
      <c r="B6" s="49" t="s">
        <v>11</v>
      </c>
      <c r="C6" s="65">
        <f>'Costo Proyecto'!$N$3</f>
        <v>10257794</v>
      </c>
      <c r="D6" s="46">
        <f>'Costo Suelo'!B5*5</f>
        <v>1250000</v>
      </c>
      <c r="E6" s="46">
        <f>'Costo Seguridad M5'!E6</f>
        <v>1312158.05</v>
      </c>
      <c r="F6" s="63">
        <f t="shared" si="0"/>
        <v>27253690.600000001</v>
      </c>
      <c r="G6" s="47">
        <f t="shared" si="1"/>
        <v>90237277</v>
      </c>
      <c r="H6" s="47">
        <f t="shared" si="2"/>
        <v>168966760</v>
      </c>
    </row>
    <row r="7" spans="2:10" ht="15" thickBot="1" x14ac:dyDescent="0.4">
      <c r="B7" s="49" t="s">
        <v>1</v>
      </c>
      <c r="C7" s="65">
        <f>'Costo Proyecto'!$N$3</f>
        <v>10257794</v>
      </c>
      <c r="D7" s="46">
        <f>'Costo Suelo'!B6*5</f>
        <v>250000</v>
      </c>
      <c r="E7" s="46">
        <f>'Costo Seguridad M5'!E7</f>
        <v>754251.05</v>
      </c>
      <c r="F7" s="63">
        <f t="shared" si="0"/>
        <v>19558806.600000001</v>
      </c>
      <c r="G7" s="47">
        <f t="shared" si="1"/>
        <v>55762857</v>
      </c>
      <c r="H7" s="47">
        <f t="shared" si="2"/>
        <v>101017920</v>
      </c>
    </row>
    <row r="8" spans="2:10" ht="15" thickBot="1" x14ac:dyDescent="0.4">
      <c r="B8" s="49" t="s">
        <v>12</v>
      </c>
      <c r="C8" s="65">
        <f>'Costo Proyecto'!$N$3</f>
        <v>10257794</v>
      </c>
      <c r="D8" s="46">
        <f>'Costo Suelo'!B7*5</f>
        <v>700000</v>
      </c>
      <c r="E8" s="46">
        <f>'Costo Seguridad M5'!E8</f>
        <v>754251.05</v>
      </c>
      <c r="F8" s="63">
        <f t="shared" si="0"/>
        <v>20008806.600000001</v>
      </c>
      <c r="G8" s="47">
        <f t="shared" si="1"/>
        <v>56212857</v>
      </c>
      <c r="H8" s="47">
        <f t="shared" si="2"/>
        <v>101467920</v>
      </c>
    </row>
    <row r="9" spans="2:10" ht="15" thickBot="1" x14ac:dyDescent="0.4">
      <c r="B9" s="49" t="s">
        <v>14</v>
      </c>
      <c r="C9" s="65">
        <f>'Costo Proyecto'!$N$3</f>
        <v>10257794</v>
      </c>
      <c r="D9" s="46">
        <f>'Costo Suelo'!B8*5</f>
        <v>850000</v>
      </c>
      <c r="E9" s="46">
        <f>'Costo Seguridad M5'!E9</f>
        <v>3740130.1</v>
      </c>
      <c r="F9" s="63">
        <f t="shared" si="0"/>
        <v>55989355.200000003</v>
      </c>
      <c r="G9" s="47">
        <f t="shared" si="1"/>
        <v>235515600</v>
      </c>
      <c r="H9" s="47">
        <f t="shared" si="2"/>
        <v>459923406</v>
      </c>
    </row>
    <row r="10" spans="2:10" ht="15" thickBot="1" x14ac:dyDescent="0.4">
      <c r="B10" s="49" t="s">
        <v>7</v>
      </c>
      <c r="C10" s="65">
        <f>'Costo Proyecto'!$N$3</f>
        <v>10257794</v>
      </c>
      <c r="D10" s="46">
        <f>'Costo Suelo'!B9*5</f>
        <v>1050000</v>
      </c>
      <c r="E10" s="46">
        <f>'Costo Seguridad M5'!E10</f>
        <v>3740130.1</v>
      </c>
      <c r="F10" s="63">
        <f t="shared" si="0"/>
        <v>56189355.200000003</v>
      </c>
      <c r="G10" s="47">
        <f t="shared" si="1"/>
        <v>235715600</v>
      </c>
      <c r="H10" s="47">
        <f t="shared" si="2"/>
        <v>460123406</v>
      </c>
    </row>
    <row r="11" spans="2:10" ht="15" thickBot="1" x14ac:dyDescent="0.4">
      <c r="B11" s="49" t="s">
        <v>6</v>
      </c>
      <c r="C11" s="65">
        <f>'Costo Proyecto'!$N$3</f>
        <v>10257794</v>
      </c>
      <c r="D11" s="46">
        <f>'Costo Suelo'!B10*5</f>
        <v>2100000</v>
      </c>
      <c r="E11" s="46">
        <f>'Costo Seguridad M5'!E11</f>
        <v>1312158.05</v>
      </c>
      <c r="F11" s="63">
        <f t="shared" si="0"/>
        <v>28103690.600000001</v>
      </c>
      <c r="G11" s="47">
        <f t="shared" si="1"/>
        <v>91087277</v>
      </c>
      <c r="H11" s="47">
        <f t="shared" si="2"/>
        <v>169816760</v>
      </c>
    </row>
    <row r="12" spans="2:10" ht="15" thickBot="1" x14ac:dyDescent="0.4">
      <c r="B12" s="49" t="s">
        <v>0</v>
      </c>
      <c r="C12" s="65">
        <f>'Costo Proyecto'!$N$3</f>
        <v>10257794</v>
      </c>
      <c r="D12" s="46">
        <f>'Costo Suelo'!B11*5</f>
        <v>575000</v>
      </c>
      <c r="E12" s="46">
        <f>'Costo Seguridad M5'!E12</f>
        <v>1312158.05</v>
      </c>
      <c r="F12" s="63">
        <f t="shared" si="0"/>
        <v>26578690.600000001</v>
      </c>
      <c r="G12" s="47">
        <f t="shared" si="1"/>
        <v>89562277</v>
      </c>
      <c r="H12" s="47">
        <f t="shared" si="2"/>
        <v>168291760</v>
      </c>
    </row>
    <row r="13" spans="2:10" ht="15" thickBot="1" x14ac:dyDescent="0.4">
      <c r="B13" s="49" t="s">
        <v>32</v>
      </c>
      <c r="C13" s="65">
        <f>'Costo Proyecto'!$N$3</f>
        <v>10257794</v>
      </c>
      <c r="D13" s="46">
        <f>'Costo Suelo'!B12*5</f>
        <v>5600000</v>
      </c>
      <c r="E13" s="46">
        <f>'Costo Seguridad M5'!E13</f>
        <v>5413851.0999999996</v>
      </c>
      <c r="F13" s="63">
        <f t="shared" si="0"/>
        <v>80824007.199999988</v>
      </c>
      <c r="G13" s="47">
        <f t="shared" si="1"/>
        <v>340688860</v>
      </c>
      <c r="H13" s="47">
        <f t="shared" si="2"/>
        <v>665519926</v>
      </c>
    </row>
    <row r="14" spans="2:10" ht="15" thickBot="1" x14ac:dyDescent="0.4">
      <c r="B14" s="49" t="s">
        <v>16</v>
      </c>
      <c r="C14" s="65">
        <f>'Costo Proyecto'!$N$3</f>
        <v>10257794</v>
      </c>
      <c r="D14" s="46">
        <f>'Costo Suelo'!B13*5</f>
        <v>625000</v>
      </c>
      <c r="E14" s="46">
        <f>'Costo Seguridad M5'!E14</f>
        <v>754251.05</v>
      </c>
      <c r="F14" s="63">
        <f t="shared" si="0"/>
        <v>19933806.600000001</v>
      </c>
      <c r="G14" s="47">
        <f t="shared" si="1"/>
        <v>56137857</v>
      </c>
      <c r="H14" s="47">
        <f t="shared" si="2"/>
        <v>101392920</v>
      </c>
    </row>
    <row r="15" spans="2:10" ht="15" thickBot="1" x14ac:dyDescent="0.4">
      <c r="B15" s="49" t="s">
        <v>2</v>
      </c>
      <c r="C15" s="65">
        <f>'Costo Proyecto'!$N$3</f>
        <v>10257794</v>
      </c>
      <c r="D15" s="46">
        <f>'Costo Suelo'!B14*5</f>
        <v>425000</v>
      </c>
      <c r="E15" s="46">
        <f>'Costo Seguridad M5'!E15</f>
        <v>5413851.0999999996</v>
      </c>
      <c r="F15" s="63">
        <f t="shared" si="0"/>
        <v>75649007.199999988</v>
      </c>
      <c r="G15" s="47">
        <f t="shared" si="1"/>
        <v>335513860</v>
      </c>
      <c r="H15" s="47">
        <f t="shared" si="2"/>
        <v>660344926</v>
      </c>
    </row>
    <row r="16" spans="2:10" ht="15" thickBot="1" x14ac:dyDescent="0.4">
      <c r="B16" s="49" t="s">
        <v>10</v>
      </c>
      <c r="C16" s="65">
        <f>'Costo Proyecto'!$N$3</f>
        <v>10257794</v>
      </c>
      <c r="D16" s="46">
        <f>'Costo Suelo'!B15*5</f>
        <v>1400000</v>
      </c>
      <c r="E16" s="46">
        <f>'Costo Seguridad M5'!E16</f>
        <v>3740130.1</v>
      </c>
      <c r="F16" s="63">
        <f t="shared" si="0"/>
        <v>56539355.200000003</v>
      </c>
      <c r="G16" s="47">
        <f t="shared" si="1"/>
        <v>236065600</v>
      </c>
      <c r="H16" s="47">
        <f t="shared" si="2"/>
        <v>460473406</v>
      </c>
    </row>
    <row r="17" spans="2:8" ht="15" thickBot="1" x14ac:dyDescent="0.4">
      <c r="B17" s="50" t="s">
        <v>8</v>
      </c>
      <c r="C17" s="66">
        <f>'Costo Proyecto'!$N$3</f>
        <v>10257794</v>
      </c>
      <c r="D17" s="61">
        <f>'Costo Suelo'!B16*5</f>
        <v>900000</v>
      </c>
      <c r="E17" s="61">
        <f>'Costo Seguridad M5'!E17</f>
        <v>3740130.1</v>
      </c>
      <c r="F17" s="64">
        <f t="shared" si="0"/>
        <v>56039355.200000003</v>
      </c>
      <c r="G17" s="62">
        <f t="shared" si="1"/>
        <v>235565600</v>
      </c>
      <c r="H17" s="62">
        <f t="shared" si="2"/>
        <v>459973406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Seguridad</vt:lpstr>
      <vt:lpstr>Costo Seguridad M5</vt:lpstr>
      <vt:lpstr>Costo Suelo</vt:lpstr>
      <vt:lpstr>Costo Proyecto</vt:lpstr>
      <vt:lpstr>Costo total 1 M5)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Gonzalez Ortiz</dc:creator>
  <cp:lastModifiedBy>Ricardo Gonzalez Ortiz</cp:lastModifiedBy>
  <dcterms:created xsi:type="dcterms:W3CDTF">2025-09-04T00:22:24Z</dcterms:created>
  <dcterms:modified xsi:type="dcterms:W3CDTF">2025-11-13T05:00:39Z</dcterms:modified>
</cp:coreProperties>
</file>