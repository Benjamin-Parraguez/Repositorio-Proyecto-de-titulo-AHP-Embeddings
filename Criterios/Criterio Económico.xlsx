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kig\OneDrive\Escritorio\Proyecto de Título\Mesa 5\Criterios\"/>
    </mc:Choice>
  </mc:AlternateContent>
  <xr:revisionPtr revIDLastSave="0" documentId="13_ncr:1_{DF2E1B06-19B6-48DD-B9EB-C50C7C31B24C}" xr6:coauthVersionLast="47" xr6:coauthVersionMax="47" xr10:uidLastSave="{00000000-0000-0000-0000-000000000000}"/>
  <bookViews>
    <workbookView xWindow="-110" yWindow="-110" windowWidth="19420" windowHeight="10300" firstSheet="3" activeTab="6" xr2:uid="{95A40CD9-96E1-459D-BE96-640B7F52018E}"/>
  </bookViews>
  <sheets>
    <sheet name="Seguridad" sheetId="4" r:id="rId1"/>
    <sheet name="Costo Seguridad M5" sheetId="10" r:id="rId2"/>
    <sheet name="Costo Suelo" sheetId="6" r:id="rId3"/>
    <sheet name="Costo Proyecto" sheetId="12" r:id="rId4"/>
    <sheet name="Costo total 1" sheetId="11" r:id="rId5"/>
    <sheet name="Valor UF" sheetId="13" r:id="rId6"/>
    <sheet name="Costo total V2" sheetId="14" r:id="rId7"/>
    <sheet name="Costo Seguridad V2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4" l="1"/>
  <c r="Q4" i="14" l="1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3" i="14"/>
  <c r="H4" i="14"/>
  <c r="J4" i="14"/>
  <c r="N4" i="14"/>
  <c r="F6" i="14"/>
  <c r="L6" i="14"/>
  <c r="E7" i="14"/>
  <c r="G7" i="14"/>
  <c r="K7" i="14"/>
  <c r="M7" i="14"/>
  <c r="I9" i="14"/>
  <c r="O9" i="14"/>
  <c r="H10" i="14"/>
  <c r="J10" i="14"/>
  <c r="N10" i="14"/>
  <c r="F12" i="14"/>
  <c r="L12" i="14"/>
  <c r="E13" i="14"/>
  <c r="G13" i="14"/>
  <c r="K13" i="14"/>
  <c r="M13" i="14"/>
  <c r="I15" i="14"/>
  <c r="O15" i="14"/>
  <c r="H16" i="14"/>
  <c r="J16" i="14"/>
  <c r="N16" i="14"/>
  <c r="G3" i="14"/>
  <c r="M3" i="14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K3" i="15"/>
  <c r="F4" i="15"/>
  <c r="E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F3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S14" i="15"/>
  <c r="S15" i="15" s="1"/>
  <c r="S24" i="15" s="1"/>
  <c r="D17" i="15"/>
  <c r="D16" i="15"/>
  <c r="D15" i="15"/>
  <c r="D14" i="15"/>
  <c r="D13" i="15"/>
  <c r="S12" i="15"/>
  <c r="D12" i="15"/>
  <c r="D11" i="15"/>
  <c r="D10" i="15"/>
  <c r="D9" i="15"/>
  <c r="D8" i="15"/>
  <c r="D7" i="15"/>
  <c r="D6" i="15"/>
  <c r="D5" i="15"/>
  <c r="D4" i="15"/>
  <c r="D3" i="15"/>
  <c r="D3" i="14"/>
  <c r="K3" i="14" s="1"/>
  <c r="L9" i="13"/>
  <c r="K9" i="13"/>
  <c r="J9" i="13"/>
  <c r="I9" i="13"/>
  <c r="H9" i="13"/>
  <c r="G9" i="13"/>
  <c r="F9" i="13"/>
  <c r="E9" i="13"/>
  <c r="D9" i="13"/>
  <c r="C9" i="13"/>
  <c r="P4" i="13"/>
  <c r="E4" i="13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AC4" i="13" s="1"/>
  <c r="AD4" i="13" s="1"/>
  <c r="AE4" i="13" s="1"/>
  <c r="AF4" i="13" s="1"/>
  <c r="AG4" i="13" s="1"/>
  <c r="AH4" i="13" s="1"/>
  <c r="AI4" i="13" s="1"/>
  <c r="AJ4" i="13" s="1"/>
  <c r="AK4" i="13" s="1"/>
  <c r="AL4" i="13" s="1"/>
  <c r="AM4" i="13" s="1"/>
  <c r="AN4" i="13" s="1"/>
  <c r="AO4" i="13" s="1"/>
  <c r="AP4" i="13" s="1"/>
  <c r="AQ4" i="13" s="1"/>
  <c r="AR4" i="13" s="1"/>
  <c r="AS4" i="13" s="1"/>
  <c r="AT4" i="13" s="1"/>
  <c r="AU4" i="13" s="1"/>
  <c r="AV4" i="13" s="1"/>
  <c r="AW4" i="13" s="1"/>
  <c r="AX4" i="13" s="1"/>
  <c r="AY4" i="13" s="1"/>
  <c r="AZ4" i="13" s="1"/>
  <c r="BA4" i="13" s="1"/>
  <c r="BB4" i="13" s="1"/>
  <c r="BC4" i="13" s="1"/>
  <c r="BD4" i="13" s="1"/>
  <c r="BE4" i="13" s="1"/>
  <c r="BF4" i="13" s="1"/>
  <c r="BG4" i="13" s="1"/>
  <c r="BH4" i="13" s="1"/>
  <c r="BI4" i="13" s="1"/>
  <c r="BJ4" i="13" s="1"/>
  <c r="BK4" i="13" s="1"/>
  <c r="BL4" i="13" s="1"/>
  <c r="BM4" i="13" s="1"/>
  <c r="BN4" i="13" s="1"/>
  <c r="BO4" i="13" s="1"/>
  <c r="BP4" i="13" s="1"/>
  <c r="BQ4" i="13" s="1"/>
  <c r="BR4" i="13" s="1"/>
  <c r="BS4" i="13" s="1"/>
  <c r="BT4" i="13" s="1"/>
  <c r="BU4" i="13" s="1"/>
  <c r="BV4" i="13" s="1"/>
  <c r="BW4" i="13" s="1"/>
  <c r="BX4" i="13" s="1"/>
  <c r="BY4" i="13" s="1"/>
  <c r="BZ4" i="13" s="1"/>
  <c r="CA4" i="13" s="1"/>
  <c r="CB4" i="13" s="1"/>
  <c r="CC4" i="13" s="1"/>
  <c r="CD4" i="13" s="1"/>
  <c r="CE4" i="13" s="1"/>
  <c r="CF4" i="13" s="1"/>
  <c r="CG4" i="13" s="1"/>
  <c r="CH4" i="13" s="1"/>
  <c r="CI4" i="13" s="1"/>
  <c r="CJ4" i="13" s="1"/>
  <c r="CK4" i="13" s="1"/>
  <c r="CL4" i="13" s="1"/>
  <c r="CM4" i="13" s="1"/>
  <c r="CN4" i="13" s="1"/>
  <c r="CO4" i="13" s="1"/>
  <c r="CP4" i="13" s="1"/>
  <c r="CQ4" i="13" s="1"/>
  <c r="CR4" i="13" s="1"/>
  <c r="CS4" i="13" s="1"/>
  <c r="CT4" i="13" s="1"/>
  <c r="CU4" i="13" s="1"/>
  <c r="CV4" i="13" s="1"/>
  <c r="CW4" i="13" s="1"/>
  <c r="CX4" i="13" s="1"/>
  <c r="CY4" i="13" s="1"/>
  <c r="CZ4" i="13" s="1"/>
  <c r="DA4" i="13" s="1"/>
  <c r="DB4" i="13" s="1"/>
  <c r="DC4" i="13" s="1"/>
  <c r="DD4" i="13" s="1"/>
  <c r="DE4" i="13" s="1"/>
  <c r="DF4" i="13" s="1"/>
  <c r="DG4" i="13" s="1"/>
  <c r="DH4" i="13" s="1"/>
  <c r="DI4" i="13" s="1"/>
  <c r="DJ4" i="13" s="1"/>
  <c r="DK4" i="13" s="1"/>
  <c r="DL4" i="13" s="1"/>
  <c r="DM4" i="13" s="1"/>
  <c r="DN4" i="13" s="1"/>
  <c r="DO4" i="13" s="1"/>
  <c r="DP4" i="13" s="1"/>
  <c r="DQ4" i="13" s="1"/>
  <c r="DR4" i="13" s="1"/>
  <c r="DS4" i="13" s="1"/>
  <c r="D4" i="13"/>
  <c r="C5" i="13"/>
  <c r="C4" i="13"/>
  <c r="C13" i="13"/>
  <c r="D17" i="14"/>
  <c r="C17" i="14"/>
  <c r="F17" i="14" s="1"/>
  <c r="D16" i="14"/>
  <c r="C16" i="14"/>
  <c r="E16" i="14" s="1"/>
  <c r="D15" i="14"/>
  <c r="C15" i="14"/>
  <c r="J15" i="14" s="1"/>
  <c r="D14" i="14"/>
  <c r="C14" i="14"/>
  <c r="I14" i="14" s="1"/>
  <c r="D13" i="14"/>
  <c r="C13" i="14"/>
  <c r="H13" i="14" s="1"/>
  <c r="D12" i="14"/>
  <c r="C12" i="14"/>
  <c r="G12" i="14" s="1"/>
  <c r="D11" i="14"/>
  <c r="C11" i="14"/>
  <c r="F11" i="14" s="1"/>
  <c r="D10" i="14"/>
  <c r="C10" i="14"/>
  <c r="E10" i="14" s="1"/>
  <c r="D9" i="14"/>
  <c r="C9" i="14"/>
  <c r="J9" i="14" s="1"/>
  <c r="D8" i="14"/>
  <c r="C8" i="14"/>
  <c r="I8" i="14" s="1"/>
  <c r="D7" i="14"/>
  <c r="C7" i="14"/>
  <c r="H7" i="14" s="1"/>
  <c r="D6" i="14"/>
  <c r="C6" i="14"/>
  <c r="G6" i="14" s="1"/>
  <c r="D5" i="14"/>
  <c r="C5" i="14"/>
  <c r="F5" i="14" s="1"/>
  <c r="D4" i="14"/>
  <c r="C4" i="14"/>
  <c r="E4" i="14" s="1"/>
  <c r="C3" i="14"/>
  <c r="H3" i="14" s="1"/>
  <c r="E6" i="10"/>
  <c r="F4" i="11"/>
  <c r="F5" i="11"/>
  <c r="F7" i="11"/>
  <c r="F8" i="11"/>
  <c r="F9" i="11"/>
  <c r="F10" i="11"/>
  <c r="F11" i="11"/>
  <c r="F12" i="11"/>
  <c r="F13" i="11"/>
  <c r="F14" i="11"/>
  <c r="F15" i="11"/>
  <c r="F16" i="11"/>
  <c r="F17" i="11"/>
  <c r="F3" i="11"/>
  <c r="H13" i="11"/>
  <c r="G4" i="11"/>
  <c r="G10" i="11"/>
  <c r="E3" i="10"/>
  <c r="E3" i="11" s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3" i="11"/>
  <c r="C4" i="11"/>
  <c r="H4" i="11" s="1"/>
  <c r="C5" i="11"/>
  <c r="H5" i="11" s="1"/>
  <c r="C6" i="11"/>
  <c r="C7" i="11"/>
  <c r="G7" i="11" s="1"/>
  <c r="C8" i="11"/>
  <c r="G8" i="11" s="1"/>
  <c r="C9" i="11"/>
  <c r="G9" i="11" s="1"/>
  <c r="C10" i="11"/>
  <c r="H10" i="11" s="1"/>
  <c r="C11" i="11"/>
  <c r="H11" i="11" s="1"/>
  <c r="C12" i="11"/>
  <c r="H12" i="11" s="1"/>
  <c r="C13" i="11"/>
  <c r="G13" i="11" s="1"/>
  <c r="C14" i="11"/>
  <c r="G14" i="11" s="1"/>
  <c r="C15" i="11"/>
  <c r="G15" i="11" s="1"/>
  <c r="C16" i="11"/>
  <c r="H16" i="11" s="1"/>
  <c r="C17" i="11"/>
  <c r="H17" i="11" s="1"/>
  <c r="C3" i="11"/>
  <c r="H3" i="11" s="1"/>
  <c r="N3" i="12"/>
  <c r="D7" i="10"/>
  <c r="E7" i="10" s="1"/>
  <c r="E7" i="11" s="1"/>
  <c r="K12" i="10"/>
  <c r="D12" i="10"/>
  <c r="E12" i="10" s="1"/>
  <c r="E12" i="11" s="1"/>
  <c r="D11" i="10"/>
  <c r="E11" i="10" s="1"/>
  <c r="E11" i="11" s="1"/>
  <c r="D10" i="10"/>
  <c r="E10" i="10" s="1"/>
  <c r="E10" i="11" s="1"/>
  <c r="D17" i="10"/>
  <c r="E17" i="10" s="1"/>
  <c r="E17" i="11" s="1"/>
  <c r="D3" i="10"/>
  <c r="D16" i="10"/>
  <c r="E16" i="10" s="1"/>
  <c r="E16" i="11" s="1"/>
  <c r="G16" i="11" s="1"/>
  <c r="D6" i="10"/>
  <c r="D8" i="10"/>
  <c r="E8" i="10" s="1"/>
  <c r="E8" i="11" s="1"/>
  <c r="D9" i="10"/>
  <c r="E9" i="10" s="1"/>
  <c r="E9" i="11" s="1"/>
  <c r="D15" i="10"/>
  <c r="E15" i="10" s="1"/>
  <c r="E15" i="11" s="1"/>
  <c r="D4" i="10"/>
  <c r="E4" i="10" s="1"/>
  <c r="E4" i="11" s="1"/>
  <c r="D14" i="10"/>
  <c r="E14" i="10" s="1"/>
  <c r="E14" i="11" s="1"/>
  <c r="D5" i="10"/>
  <c r="E5" i="10" s="1"/>
  <c r="E5" i="11" s="1"/>
  <c r="D13" i="10"/>
  <c r="E13" i="10" s="1"/>
  <c r="E13" i="11" s="1"/>
  <c r="B17" i="4"/>
  <c r="L3" i="14" l="1"/>
  <c r="F3" i="14"/>
  <c r="J17" i="14"/>
  <c r="O16" i="14"/>
  <c r="I16" i="14"/>
  <c r="N15" i="14"/>
  <c r="H15" i="14"/>
  <c r="M14" i="14"/>
  <c r="G14" i="14"/>
  <c r="L13" i="14"/>
  <c r="F13" i="14"/>
  <c r="K12" i="14"/>
  <c r="E12" i="14"/>
  <c r="J11" i="14"/>
  <c r="O10" i="14"/>
  <c r="I10" i="14"/>
  <c r="N9" i="14"/>
  <c r="H9" i="14"/>
  <c r="M8" i="14"/>
  <c r="G8" i="14"/>
  <c r="L7" i="14"/>
  <c r="F7" i="14"/>
  <c r="K6" i="14"/>
  <c r="E6" i="14"/>
  <c r="J5" i="14"/>
  <c r="O4" i="14"/>
  <c r="I4" i="14"/>
  <c r="N14" i="14"/>
  <c r="K11" i="14"/>
  <c r="N8" i="14"/>
  <c r="E5" i="14"/>
  <c r="O17" i="14"/>
  <c r="L14" i="14"/>
  <c r="F14" i="14"/>
  <c r="J12" i="14"/>
  <c r="L8" i="14"/>
  <c r="E3" i="14"/>
  <c r="J3" i="14"/>
  <c r="N17" i="14"/>
  <c r="H17" i="14"/>
  <c r="M16" i="14"/>
  <c r="G16" i="14"/>
  <c r="L15" i="14"/>
  <c r="F15" i="14"/>
  <c r="K14" i="14"/>
  <c r="E14" i="14"/>
  <c r="J13" i="14"/>
  <c r="O12" i="14"/>
  <c r="I12" i="14"/>
  <c r="N11" i="14"/>
  <c r="H11" i="14"/>
  <c r="M10" i="14"/>
  <c r="G10" i="14"/>
  <c r="L9" i="14"/>
  <c r="F9" i="14"/>
  <c r="K8" i="14"/>
  <c r="E8" i="14"/>
  <c r="J7" i="14"/>
  <c r="O6" i="14"/>
  <c r="I6" i="14"/>
  <c r="N5" i="14"/>
  <c r="H5" i="14"/>
  <c r="M4" i="14"/>
  <c r="G4" i="14"/>
  <c r="K17" i="14"/>
  <c r="H14" i="14"/>
  <c r="E11" i="14"/>
  <c r="I17" i="14"/>
  <c r="M15" i="14"/>
  <c r="I11" i="14"/>
  <c r="M9" i="14"/>
  <c r="F8" i="14"/>
  <c r="O3" i="14"/>
  <c r="I3" i="14"/>
  <c r="M17" i="14"/>
  <c r="G17" i="14"/>
  <c r="L16" i="14"/>
  <c r="F16" i="14"/>
  <c r="K15" i="14"/>
  <c r="E15" i="14"/>
  <c r="J14" i="14"/>
  <c r="O13" i="14"/>
  <c r="I13" i="14"/>
  <c r="N12" i="14"/>
  <c r="H12" i="14"/>
  <c r="M11" i="14"/>
  <c r="G11" i="14"/>
  <c r="L10" i="14"/>
  <c r="F10" i="14"/>
  <c r="K9" i="14"/>
  <c r="E9" i="14"/>
  <c r="J8" i="14"/>
  <c r="O7" i="14"/>
  <c r="I7" i="14"/>
  <c r="N6" i="14"/>
  <c r="H6" i="14"/>
  <c r="M5" i="14"/>
  <c r="G5" i="14"/>
  <c r="L4" i="14"/>
  <c r="F4" i="14"/>
  <c r="E17" i="14"/>
  <c r="H8" i="14"/>
  <c r="K5" i="14"/>
  <c r="G15" i="14"/>
  <c r="O11" i="14"/>
  <c r="G9" i="14"/>
  <c r="J6" i="14"/>
  <c r="O5" i="14"/>
  <c r="I5" i="14"/>
  <c r="N3" i="14"/>
  <c r="L17" i="14"/>
  <c r="K16" i="14"/>
  <c r="O14" i="14"/>
  <c r="N13" i="14"/>
  <c r="M12" i="14"/>
  <c r="L11" i="14"/>
  <c r="K10" i="14"/>
  <c r="O8" i="14"/>
  <c r="N7" i="14"/>
  <c r="M6" i="14"/>
  <c r="L5" i="14"/>
  <c r="K4" i="14"/>
  <c r="S13" i="15"/>
  <c r="S20" i="15"/>
  <c r="S21" i="15"/>
  <c r="S19" i="15"/>
  <c r="S16" i="15"/>
  <c r="S17" i="15"/>
  <c r="S23" i="15"/>
  <c r="S25" i="15"/>
  <c r="S22" i="15"/>
  <c r="S18" i="15"/>
  <c r="E6" i="11"/>
  <c r="F6" i="11" s="1"/>
  <c r="G3" i="11"/>
  <c r="G12" i="11"/>
  <c r="H15" i="11"/>
  <c r="H9" i="11"/>
  <c r="G17" i="11"/>
  <c r="G11" i="11"/>
  <c r="G5" i="11"/>
  <c r="H14" i="11"/>
  <c r="H8" i="11"/>
  <c r="H7" i="11"/>
  <c r="G6" i="11" l="1"/>
  <c r="H6" i="11"/>
  <c r="E4" i="15"/>
  <c r="E9" i="15"/>
  <c r="E8" i="15"/>
  <c r="E12" i="15"/>
  <c r="E10" i="15"/>
  <c r="E13" i="15"/>
  <c r="E14" i="15"/>
  <c r="E16" i="15"/>
  <c r="E5" i="15"/>
  <c r="E15" i="15"/>
  <c r="E11" i="15"/>
  <c r="E7" i="15"/>
  <c r="E6" i="15"/>
  <c r="E17" i="15"/>
</calcChain>
</file>

<file path=xl/sharedStrings.xml><?xml version="1.0" encoding="utf-8"?>
<sst xmlns="http://schemas.openxmlformats.org/spreadsheetml/2006/main" count="252" uniqueCount="118">
  <si>
    <t>Placilla</t>
  </si>
  <si>
    <t>Laguna Verde</t>
  </si>
  <si>
    <t>Quebrada Verde</t>
  </si>
  <si>
    <t>Barón</t>
  </si>
  <si>
    <t>Unidad Vecinal</t>
  </si>
  <si>
    <t>Esperanza</t>
  </si>
  <si>
    <t>Placeres</t>
  </si>
  <si>
    <t>Padre Demian Molokai</t>
  </si>
  <si>
    <t>Rodelillo</t>
  </si>
  <si>
    <t>Baron</t>
  </si>
  <si>
    <t>Reina Isabel 2</t>
  </si>
  <si>
    <t>Jean y Marie Thierry</t>
  </si>
  <si>
    <t>Las Cañas</t>
  </si>
  <si>
    <t>Plaza Justicia</t>
  </si>
  <si>
    <t>Marcelo Mena</t>
  </si>
  <si>
    <t>Cordillera</t>
  </si>
  <si>
    <t>Puertas Negras</t>
  </si>
  <si>
    <t>Puertas negras</t>
  </si>
  <si>
    <t>Cantidad Denuncias Delitos graves</t>
  </si>
  <si>
    <t>Total</t>
  </si>
  <si>
    <t>Valor de suelo estimado ($/m²)</t>
  </si>
  <si>
    <t>Justificación</t>
  </si>
  <si>
    <t>Cercano a Av. España y borde costero; alta demanda urbana.</t>
  </si>
  <si>
    <t>Zona de cerro con pendiente; accesibilidad media.</t>
  </si>
  <si>
    <t>Cerro con menor centralidad; baja demanda inmobiliaria.</t>
  </si>
  <si>
    <t>Residencial, pendiente media, valor intermedio.</t>
  </si>
  <si>
    <t>Zona periférica, semi-rural; baja accesibilidad.</t>
  </si>
  <si>
    <t>Cerro, baja centralidad y accesibilidad.</t>
  </si>
  <si>
    <t>Residencial con mejor conectividad; valor medio-alto.</t>
  </si>
  <si>
    <t>Residencial, pero alejado; baja demanda.</t>
  </si>
  <si>
    <t>Conector Viña–Valpo, pero con pendiente alta.</t>
  </si>
  <si>
    <t>Expansión urbana, buena accesibilidad por Ruta 68.</t>
  </si>
  <si>
    <t>Plaza Justicia (Plan)</t>
  </si>
  <si>
    <t>Centro cívico, alta densidad y centralidad urbana.</t>
  </si>
  <si>
    <t>Periferia, vulnerabilidad alta, baja accesibilidad.</t>
  </si>
  <si>
    <t>Entorno natural, valor limitado por baja urbanización.</t>
  </si>
  <si>
    <t>Residencial consolidado, mediana accesibilidad.</t>
  </si>
  <si>
    <t>Densidad media, pendientes elevadas, accesibilidad media.</t>
  </si>
  <si>
    <t>Denuncias graves</t>
  </si>
  <si>
    <t>Costo cargador 2x11 kW</t>
  </si>
  <si>
    <t>Valor de suelo estimado ($/5m²)</t>
  </si>
  <si>
    <t>Categoria zona</t>
  </si>
  <si>
    <t>Peligrosa</t>
  </si>
  <si>
    <t>Media-Peligrosa</t>
  </si>
  <si>
    <t>Segura</t>
  </si>
  <si>
    <t>Media-Segura</t>
  </si>
  <si>
    <t>Cantidad delitos</t>
  </si>
  <si>
    <t>Catgoria</t>
  </si>
  <si>
    <t>Camaras</t>
  </si>
  <si>
    <t xml:space="preserve">Guardias </t>
  </si>
  <si>
    <t>Horas</t>
  </si>
  <si>
    <t>Cantidad</t>
  </si>
  <si>
    <t>Costos asociados</t>
  </si>
  <si>
    <t>Guardias</t>
  </si>
  <si>
    <t>Valor</t>
  </si>
  <si>
    <t>https://cl.indeed.com/career/guardia-de-seguridad-privada/salaries?utm_source=chatgpt.com</t>
  </si>
  <si>
    <t>https://chilevigila.cl/kit_camaras_de_seguridad_cctv-hd-ahd-ip-hibrido_8CH.html</t>
  </si>
  <si>
    <t>Costo</t>
  </si>
  <si>
    <t>Cant. Para hrs.</t>
  </si>
  <si>
    <t>Seguridad</t>
  </si>
  <si>
    <t>Cantidad/Horas</t>
  </si>
  <si>
    <t xml:space="preserve">Promedio </t>
  </si>
  <si>
    <t>Costo seguridad (CLP/mes)</t>
  </si>
  <si>
    <t>Duda sobre costo, consideramos costo de seguridad anual?</t>
  </si>
  <si>
    <t>Total 10 años</t>
  </si>
  <si>
    <t>Total 5 años</t>
  </si>
  <si>
    <t>Total anual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</si>
  <si>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</si>
  <si>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</si>
  <si>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</si>
  <si>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</si>
  <si>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</si>
  <si>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</si>
  <si>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</si>
  <si>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</si>
  <si>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</si>
  <si>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</si>
  <si>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Meses →</t>
  </si>
  <si>
    <t>IPC promedio</t>
  </si>
  <si>
    <t>Valor UF</t>
  </si>
  <si>
    <t>2024-2025</t>
  </si>
  <si>
    <t>2023-2024</t>
  </si>
  <si>
    <t>2022-2023</t>
  </si>
  <si>
    <t>2021-2022</t>
  </si>
  <si>
    <t>2020-2021</t>
  </si>
  <si>
    <t>2019-2020</t>
  </si>
  <si>
    <t>2018-2019</t>
  </si>
  <si>
    <t>2017-2018</t>
  </si>
  <si>
    <t>2016-2017</t>
  </si>
  <si>
    <t>2015-2016</t>
  </si>
  <si>
    <t>Resumen anual</t>
  </si>
  <si>
    <t>Valor UF Diciembre 2025</t>
  </si>
  <si>
    <t>Calculo UF</t>
  </si>
  <si>
    <t xml:space="preserve">Guardia </t>
  </si>
  <si>
    <t>Año 0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</si>
  <si>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</si>
  <si>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</si>
  <si>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</si>
  <si>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</si>
  <si>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</si>
  <si>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</si>
  <si>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</si>
  <si>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</si>
  <si>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</si>
  <si>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</si>
  <si>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Costo A1</t>
  </si>
  <si>
    <t>Costo A2</t>
  </si>
  <si>
    <t>Costo A3</t>
  </si>
  <si>
    <t>Costo A4</t>
  </si>
  <si>
    <t>Costo A5</t>
  </si>
  <si>
    <t>Costo A6</t>
  </si>
  <si>
    <t>Costo A7</t>
  </si>
  <si>
    <t>Costo A8</t>
  </si>
  <si>
    <t>Costo A9</t>
  </si>
  <si>
    <t>Costo A10</t>
  </si>
  <si>
    <t>Total año 5</t>
  </si>
  <si>
    <t>Total año 10</t>
  </si>
  <si>
    <t>Año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</si>
</sst>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70" formatCode="_ &quot;$&quot;* #,##0.00_ ;_ &quot;$&quot;* \-#,##0.00_ ;_ &quot;$&quot;* &quot;-&quot;_ ;_ @_ "/>
    <numFmt numFmtId="174" formatCode="0.00000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D2D2D"/>
      <name val="Times New Roman"/>
      <family val="1"/>
    </font>
    <font>
      <sz val="8"/>
      <name val="Aptos Narrow"/>
      <family val="2"/>
      <scheme val="minor"/>
    </font>
    <font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3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42" fontId="6" fillId="0" borderId="10" xfId="1" applyFont="1" applyBorder="1"/>
    <xf numFmtId="42" fontId="5" fillId="0" borderId="15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2" fontId="0" fillId="0" borderId="0" xfId="1" applyFont="1"/>
    <xf numFmtId="42" fontId="0" fillId="0" borderId="0" xfId="0" applyNumberFormat="1"/>
    <xf numFmtId="42" fontId="0" fillId="0" borderId="12" xfId="1" applyFont="1" applyBorder="1" applyAlignment="1">
      <alignment horizontal="center" vertical="center" wrapText="1"/>
    </xf>
    <xf numFmtId="42" fontId="0" fillId="0" borderId="13" xfId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42" fontId="5" fillId="0" borderId="22" xfId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42" fontId="5" fillId="0" borderId="2" xfId="1" applyFont="1" applyBorder="1" applyAlignment="1">
      <alignment horizontal="center" vertical="center"/>
    </xf>
    <xf numFmtId="42" fontId="0" fillId="0" borderId="31" xfId="1" applyFont="1" applyBorder="1" applyAlignment="1">
      <alignment horizontal="center" vertical="center" wrapText="1"/>
    </xf>
    <xf numFmtId="42" fontId="0" fillId="0" borderId="37" xfId="1" applyFont="1" applyBorder="1" applyAlignment="1">
      <alignment horizontal="center" vertical="center"/>
    </xf>
    <xf numFmtId="42" fontId="0" fillId="0" borderId="38" xfId="1" applyFont="1" applyBorder="1" applyAlignment="1">
      <alignment horizontal="center" vertical="center" wrapText="1"/>
    </xf>
    <xf numFmtId="42" fontId="0" fillId="0" borderId="20" xfId="1" applyFont="1" applyBorder="1" applyAlignment="1">
      <alignment horizontal="center" vertical="center" wrapText="1"/>
    </xf>
    <xf numFmtId="42" fontId="0" fillId="0" borderId="11" xfId="1" applyFont="1" applyBorder="1" applyAlignment="1">
      <alignment horizontal="center" vertical="center"/>
    </xf>
    <xf numFmtId="42" fontId="0" fillId="0" borderId="16" xfId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0" fontId="8" fillId="0" borderId="0" xfId="0" applyNumberFormat="1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70" fontId="8" fillId="0" borderId="13" xfId="0" applyNumberFormat="1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4" fontId="8" fillId="0" borderId="0" xfId="0" applyNumberFormat="1" applyFont="1" applyAlignment="1">
      <alignment horizontal="center" vertical="center"/>
    </xf>
    <xf numFmtId="170" fontId="8" fillId="0" borderId="5" xfId="0" applyNumberFormat="1" applyFont="1" applyBorder="1" applyAlignment="1">
      <alignment horizontal="center" vertical="center"/>
    </xf>
    <xf numFmtId="170" fontId="8" fillId="0" borderId="8" xfId="0" applyNumberFormat="1" applyFont="1" applyBorder="1" applyAlignment="1">
      <alignment horizontal="center" vertical="center"/>
    </xf>
    <xf numFmtId="170" fontId="8" fillId="0" borderId="9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42" fontId="5" fillId="0" borderId="21" xfId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42" fontId="0" fillId="0" borderId="32" xfId="1" applyFont="1" applyBorder="1" applyAlignment="1">
      <alignment horizontal="center" vertical="center" wrapText="1"/>
    </xf>
    <xf numFmtId="42" fontId="0" fillId="0" borderId="11" xfId="1" applyFont="1" applyBorder="1" applyAlignment="1">
      <alignment horizontal="center" vertical="center" wrapText="1"/>
    </xf>
    <xf numFmtId="42" fontId="0" fillId="0" borderId="39" xfId="1" applyFont="1" applyBorder="1" applyAlignment="1">
      <alignment horizontal="center" vertical="center" wrapText="1"/>
    </xf>
    <xf numFmtId="42" fontId="0" fillId="0" borderId="1" xfId="1" applyFont="1" applyBorder="1" applyAlignment="1">
      <alignment horizontal="center" vertical="center" wrapText="1"/>
    </xf>
    <xf numFmtId="42" fontId="0" fillId="0" borderId="6" xfId="1" applyFont="1" applyBorder="1" applyAlignment="1">
      <alignment horizontal="center" vertical="center" wrapText="1"/>
    </xf>
    <xf numFmtId="42" fontId="0" fillId="0" borderId="8" xfId="1" applyFont="1" applyBorder="1" applyAlignment="1">
      <alignment horizontal="center" vertical="center" wrapText="1"/>
    </xf>
    <xf numFmtId="42" fontId="0" fillId="0" borderId="9" xfId="1" applyFont="1" applyBorder="1" applyAlignment="1">
      <alignment horizontal="center" vertical="center" wrapText="1"/>
    </xf>
    <xf numFmtId="42" fontId="0" fillId="0" borderId="22" xfId="1" applyFont="1" applyBorder="1" applyAlignment="1">
      <alignment horizontal="center" vertical="center" wrapText="1"/>
    </xf>
    <xf numFmtId="42" fontId="0" fillId="0" borderId="23" xfId="1" applyFont="1" applyBorder="1" applyAlignment="1">
      <alignment horizontal="center" vertical="center" wrapText="1"/>
    </xf>
    <xf numFmtId="42" fontId="0" fillId="0" borderId="18" xfId="1" applyFont="1" applyBorder="1" applyAlignment="1">
      <alignment horizontal="center" vertical="center" wrapText="1"/>
    </xf>
    <xf numFmtId="42" fontId="0" fillId="0" borderId="19" xfId="1" applyFont="1" applyBorder="1" applyAlignment="1">
      <alignment horizontal="center" vertical="center" wrapText="1"/>
    </xf>
    <xf numFmtId="42" fontId="0" fillId="0" borderId="33" xfId="1" applyFont="1" applyBorder="1" applyAlignment="1">
      <alignment horizontal="center" vertical="center" wrapText="1"/>
    </xf>
    <xf numFmtId="42" fontId="0" fillId="0" borderId="34" xfId="1" applyFont="1" applyBorder="1" applyAlignment="1">
      <alignment horizontal="center" vertical="center" wrapText="1"/>
    </xf>
    <xf numFmtId="42" fontId="0" fillId="0" borderId="44" xfId="1" applyFont="1" applyBorder="1" applyAlignment="1">
      <alignment horizontal="center" vertical="center" wrapText="1"/>
    </xf>
    <xf numFmtId="42" fontId="0" fillId="0" borderId="45" xfId="1" applyFont="1" applyBorder="1" applyAlignment="1">
      <alignment horizontal="center" vertical="center" wrapText="1"/>
    </xf>
    <xf numFmtId="42" fontId="0" fillId="0" borderId="46" xfId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42" fontId="0" fillId="0" borderId="47" xfId="0" applyNumberFormat="1" applyBorder="1" applyAlignment="1">
      <alignment horizontal="center" vertical="center"/>
    </xf>
    <xf numFmtId="42" fontId="0" fillId="0" borderId="48" xfId="0" applyNumberFormat="1" applyBorder="1" applyAlignment="1">
      <alignment horizontal="center" vertical="center"/>
    </xf>
    <xf numFmtId="42" fontId="0" fillId="0" borderId="49" xfId="0" applyNumberFormat="1" applyBorder="1" applyAlignment="1">
      <alignment horizontal="center" vertical="center"/>
    </xf>
    <xf numFmtId="42" fontId="0" fillId="0" borderId="32" xfId="0" applyNumberFormat="1" applyBorder="1" applyAlignment="1">
      <alignment horizontal="center" vertical="center"/>
    </xf>
    <xf numFmtId="42" fontId="0" fillId="0" borderId="33" xfId="0" applyNumberFormat="1" applyBorder="1" applyAlignment="1">
      <alignment horizontal="center" vertical="center"/>
    </xf>
    <xf numFmtId="42" fontId="0" fillId="0" borderId="34" xfId="0" applyNumberFormat="1" applyBorder="1" applyAlignment="1">
      <alignment horizontal="center" vertical="center"/>
    </xf>
  </cellXfs>
  <cellStyles count="2">
    <cellStyle name="Moneda [0]" xfId="1" builtinId="7"/>
    <cellStyle name="Normal" xfId="0" builtinId="0"/>
  </cellStyles>
  <dxfs count="3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2" formatCode="_ &quot;$&quot;* #,##0_ ;_ &quot;$&quot;* \-#,##0_ ;_ &quot;$&quot;* &quot;-&quot;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2" formatCode="_ &quot;$&quot;* #,##0_ ;_ &quot;$&quot;* \-#,##0_ ;_ &quot;$&quot;* &quot;-&quot;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2" formatCode="_ &quot;$&quot;* #,##0_ ;_ &quot;$&quot;* \-#,##0_ ;_ &quot;$&quot;* &quot;-&quot;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2" formatCode="_ &quot;$&quot;* #,##0_ ;_ &quot;$&quot;* \-#,##0_ ;_ &quot;$&quot;* &quot;-&quot;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2" formatCode="_ &quot;$&quot;* #,##0_ ;_ &quot;$&quot;* \-#,##0_ ;_ &quot;$&quot;* &quot;-&quot;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2" formatCode="_ &quot;$&quot;* #,##0_ ;_ &quot;$&quot;* \-#,##0_ ;_ &quot;$&quot;* &quot;-&quot;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2" formatCode="_ &quot;$&quot;* #,##0_ ;_ &quot;$&quot;* \-#,##0_ ;_ &quot;$&quot;* &quot;-&quot;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2" formatCode="_ &quot;$&quot;* #,##0_ ;_ &quot;$&quot;* \-#,##0_ ;_ &quot;$&quot;* &quot;-&quot;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2" formatCode="_ &quot;$&quot;* #,##0_ ;_ &quot;$&quot;* \-#,##0_ ;_ &quot;$&quot;* &quot;-&quot;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2" formatCode="_ &quot;$&quot;* #,##0_ ;_ &quot;$&quot;* \-#,##0_ ;_ &quot;$&quot;* &quot;-&quot;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152400</xdr:colOff>
      <xdr:row>25</xdr:row>
      <xdr:rowOff>113803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004F8F-8F3E-B9DE-B381-6C1AD10D9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84150"/>
          <a:ext cx="7772400" cy="453340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7A8907-8745-4D7B-806E-1833F54183BA}" name="Tabla5" displayName="Tabla5" ref="A1:B17" totalsRowCount="1" headerRowDxfId="37" tableBorderDxfId="36">
  <autoFilter ref="A1:B16" xr:uid="{D27A8907-8745-4D7B-806E-1833F54183BA}"/>
  <tableColumns count="2">
    <tableColumn id="1" xr3:uid="{C2B599ED-8BA5-482C-B3CF-39FC0D3ABFF7}" name="Unidad Vecinal" totalsRowLabel="Total" dataDxfId="35" totalsRowDxfId="34"/>
    <tableColumn id="2" xr3:uid="{3A3E096A-0F08-49B6-8571-B346A7258824}" name="Cantidad Denuncias Delitos graves" totalsRowFunction="sum" dataDxfId="33" totalsRow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74BD93-7F15-46E4-A4F3-92909BF934E7}" name="Tabla1" displayName="Tabla1" ref="B2:E17" totalsRowShown="0" headerRowBorderDxfId="31" tableBorderDxfId="30" totalsRowBorderDxfId="29">
  <autoFilter ref="B2:E17" xr:uid="{B874BD93-7F15-46E4-A4F3-92909BF934E7}"/>
  <sortState xmlns:xlrd2="http://schemas.microsoft.com/office/spreadsheetml/2017/richdata2" ref="B3:E17">
    <sortCondition ref="B2:B17"/>
  </sortState>
  <tableColumns count="4">
    <tableColumn id="1" xr3:uid="{DEE87D21-C526-4402-AD53-84C25868231B}" name="Unidad Vecinal" dataDxfId="28"/>
    <tableColumn id="2" xr3:uid="{8655C74A-6C8E-41E8-A2FA-2C0437E4A906}" name="Denuncias graves" dataDxfId="27"/>
    <tableColumn id="3" xr3:uid="{721EA286-BD11-412E-B8E9-7ED98EF7A04E}" name="Catgoria" dataDxfId="26">
      <calculatedColumnFormula>IF(C3&lt;=$K$5,$I$5,IF(C3&lt;=$K$6,$I$6,IF(C3&lt;=$K$7,$I$7,IF(C3&lt;=$K$8,$I$8))))</calculatedColumnFormula>
    </tableColumn>
    <tableColumn id="4" xr3:uid="{EC35539F-292A-46DB-88C1-5CE0778E0B0F}" name="Costo" dataDxfId="25" dataCellStyle="Moneda [0]">
      <calculatedColumnFormula>IF(D3=$I$5,$L$5*$K$12+$K$13*$O$5,IF(D3=$I$6,$L$6*$K$12+$K$13*$O$6,IF(D3=$I$7,$L$7*$K$12+$K$13*$O$7,IF(D3=$I$8,$L$8*$K$12+$K$13*$O$8))))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0C6DB8-C2FC-4E10-B620-2A8CCF5CEA01}" name="Tabla13" displayName="Tabla13" ref="B2:O17" totalsRowShown="0" headerRowBorderDxfId="23" tableBorderDxfId="24" totalsRowBorderDxfId="22">
  <autoFilter ref="B2:O17" xr:uid="{B874BD93-7F15-46E4-A4F3-92909BF934E7}"/>
  <sortState xmlns:xlrd2="http://schemas.microsoft.com/office/spreadsheetml/2017/richdata2" ref="B3:E17">
    <sortCondition ref="B2:B17"/>
  </sortState>
  <tableColumns count="14">
    <tableColumn id="1" xr3:uid="{53C2A94A-E5BC-4261-80EC-821603A4179D}" name="Unidad Vecinal" dataDxfId="21"/>
    <tableColumn id="2" xr3:uid="{9B897552-4B9F-4AC4-9CF6-B0D6DFDE4DAF}" name="Denuncias graves" dataDxfId="20"/>
    <tableColumn id="3" xr3:uid="{22F26517-F568-43DF-BCCB-1092041BCEE8}" name="Catgoria" dataDxfId="19">
      <calculatedColumnFormula>IF(C3&lt;=$S$5,$Q$5,IF(C3&lt;=$S$6,$Q$6,IF(C3&lt;=$S$7,$Q$7,IF(C3&lt;=$S$8,$Q$8))))</calculatedColumnFormula>
    </tableColumn>
    <tableColumn id="4" xr3:uid="{78FBEE25-7F72-49E1-A1BC-599EE3C778CD}" name="Costo" dataDxfId="18" dataCellStyle="Moneda [0]">
      <calculatedColumnFormula>IF(D3=$Q$5,$T$5*$S$12+$S$13*$W$5,IF(D3=$Q$6,$T$6*$S$12+$S$13*$W$6,IF(D3=$Q$7,$T$7*$S$12+$S$13*$W$7,IF(D3=$Q$8,$T$8*$S$12+$S$13*$W$8))))</calculatedColumnFormula>
    </tableColumn>
    <tableColumn id="5" xr3:uid="{C019569E-0CCA-4F9A-8772-1D96B10BB62A}" name="Costo A1" dataDxfId="17" dataCellStyle="Moneda [0]">
      <calculatedColumnFormula>IF(D3=$Q$5,$T$5*$S$12+$S$16*$W$5,IF(D3=$Q$6,$T$6*$S$12+$S$16*$W$6,IF(D3=$Q$7,$T$7*$S$12+$S$16*$W$7,IF(D3=$Q$8,$T$8*$S$12+$S$16*$W$8))))</calculatedColumnFormula>
    </tableColumn>
    <tableColumn id="6" xr3:uid="{DA4403D3-921F-4996-A73C-0F8E04347BB3}" name="Costo A2" dataDxfId="16" dataCellStyle="Moneda [0]">
      <calculatedColumnFormula>IF(D3=$Q$5,$T$5*$S$12+$S$17*$W$5,IF(D3=$Q$6,$T$6*$S$12+$S$17*$W$6,IF(D3=$Q$7,$T$7*$S$12+$S$17*$W$7,IF(D3=$Q$8,$T$8*$S$12+$S$17*$W$8))))</calculatedColumnFormula>
    </tableColumn>
    <tableColumn id="7" xr3:uid="{3A6F753E-4B65-4660-9F59-C166DB51714E}" name="Costo A3" dataDxfId="15" dataCellStyle="Moneda [0]">
      <calculatedColumnFormula>IF(D3=$Q$5,$T$5*$S$12+$S$18*$W$5,IF(D3=$Q$6,$T$6*$S$12+$S$18*$W$6,IF(D3=$Q$7,$T$7*$S$12+$S$18*$W$7,IF(D3=$Q$8,$T$8*$S$12+$S$18*$W$8))))</calculatedColumnFormula>
    </tableColumn>
    <tableColumn id="8" xr3:uid="{65D63C99-D434-455E-87C4-1E2281DD89F3}" name="Costo A4" dataDxfId="14" dataCellStyle="Moneda [0]">
      <calculatedColumnFormula>IF(D3=$Q$5,$T$5*$S$12+$S$19*$W$5,IF(D3=$Q$6,$T$6*$S$12+$S$19*$W$6,IF(D3=$Q$7,$T$7*$S$12+$S$19*$W$7,IF(D3=$Q$8,$T$8*$S$12+$S$19*$W$8))))</calculatedColumnFormula>
    </tableColumn>
    <tableColumn id="9" xr3:uid="{00FB3318-8379-4B26-BC60-A82C9C1C0A2B}" name="Costo A5" dataDxfId="13" dataCellStyle="Moneda [0]">
      <calculatedColumnFormula>IF(D3=$Q$5,$T$5*$S$12+$S$20*$W$5,IF(D3=$Q$6,$T$6*$S$12+$S$20*$W$6,IF(D3=$Q$7,$T$7*$S$12+$S$20*$W$7,IF(D3=$Q$8,$T$8*$S$12+$S$20*$W$8))))</calculatedColumnFormula>
    </tableColumn>
    <tableColumn id="10" xr3:uid="{D9363B65-999B-4DD3-9C34-1B7F12835485}" name="Costo A6" dataDxfId="12" dataCellStyle="Moneda [0]">
      <calculatedColumnFormula>IF(D3=$Q$5,$T$5*$S$12+$S$21*$W$5,IF(D3=$Q$6,$T$6*$S$12+$S$21*$W$6,IF(D3=$Q$7,$T$7*$S$12+$S$21*$W$7,IF(D3=$Q$8,$T$8*$S$12+$S$21*$W$8))))</calculatedColumnFormula>
    </tableColumn>
    <tableColumn id="11" xr3:uid="{469FC3C4-5C2D-4C0F-8B5D-04835BE25C06}" name="Costo A7" dataDxfId="11" dataCellStyle="Moneda [0]">
      <calculatedColumnFormula>IF(D3=$Q$5,$T$5*$S$12+$S$22*$W$5,IF(D3=$Q$6,$T$6*$S$12+$S$22*$W$6,IF(D3=$Q$7,$T$7*$S$12+$S$22*$W$7,IF(D3=$Q$8,$T$8*$S$12+$S$22*$W$8))))</calculatedColumnFormula>
    </tableColumn>
    <tableColumn id="12" xr3:uid="{40327058-62CD-4409-BD07-511D624EC42C}" name="Costo A8" dataDxfId="10" dataCellStyle="Moneda [0]">
      <calculatedColumnFormula>IF(D3=$Q$5,$T$5*$S$12+$S$23*$W$5,IF(D3=$Q$6,$T$6*$S$12+$S$23*$W$6,IF(D3=$Q$7,$T$7*$S$12+$S$23*$W$7,IF(D3=$Q$8,$T$8*$S$12+$S$23*$W$8))))</calculatedColumnFormula>
    </tableColumn>
    <tableColumn id="13" xr3:uid="{7E93DFF2-2780-43E7-B3CB-FCCFB1631567}" name="Costo A9" dataDxfId="9" dataCellStyle="Moneda [0]">
      <calculatedColumnFormula>IF(D3=$Q$5,$T$5*$S$12+$S$24*$W$5,IF(D3=$Q$6,$T$6*$S$12+$S$24*$W$6,IF(D3=$Q$7,$T$7*$S$12+$S$24*$W$7,IF(D3=$Q$8,$T$8*$S$12+$S$24*$W$8))))</calculatedColumnFormula>
    </tableColumn>
    <tableColumn id="14" xr3:uid="{57C8D652-DE9E-4A98-933B-DE8CE9924798}" name="Costo A10" dataDxfId="8" dataCellStyle="Moneda [0]">
      <calculatedColumnFormula>IF(D3=$Q$5,$T$5*$S$12+$S$25*$W$5,IF(D3=$Q$6,$T$6*$S$12+$S$25*$W$6,IF(D3=$Q$7,$T$7*$S$12+$S$25*$W$7,IF(D3=$Q$8,$T$8*$S$12+$S$25*$W$8))))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1D2D-3173-411C-ADA6-B0FCAF4EA6DA}">
  <dimension ref="A1:B17"/>
  <sheetViews>
    <sheetView workbookViewId="0">
      <selection activeCell="F15" sqref="F15"/>
    </sheetView>
  </sheetViews>
  <sheetFormatPr baseColWidth="10" defaultRowHeight="14.5" x14ac:dyDescent="0.35"/>
  <cols>
    <col min="1" max="1" width="18.90625" style="1" bestFit="1" customWidth="1"/>
    <col min="2" max="2" width="31.90625" style="1" customWidth="1"/>
    <col min="3" max="16384" width="10.90625" style="1"/>
  </cols>
  <sheetData>
    <row r="1" spans="1:2" x14ac:dyDescent="0.35">
      <c r="A1" s="8" t="s">
        <v>4</v>
      </c>
      <c r="B1" s="9" t="s">
        <v>18</v>
      </c>
    </row>
    <row r="2" spans="1:2" x14ac:dyDescent="0.35">
      <c r="A2" s="4" t="s">
        <v>1</v>
      </c>
      <c r="B2" s="2">
        <v>614</v>
      </c>
    </row>
    <row r="3" spans="1:2" x14ac:dyDescent="0.35">
      <c r="A3" s="5" t="s">
        <v>0</v>
      </c>
      <c r="B3" s="3">
        <v>1218</v>
      </c>
    </row>
    <row r="4" spans="1:2" x14ac:dyDescent="0.35">
      <c r="A4" s="10" t="s">
        <v>6</v>
      </c>
      <c r="B4" s="2">
        <v>1424</v>
      </c>
    </row>
    <row r="5" spans="1:2" x14ac:dyDescent="0.35">
      <c r="A5" s="6" t="s">
        <v>7</v>
      </c>
      <c r="B5" s="3">
        <v>1837</v>
      </c>
    </row>
    <row r="6" spans="1:2" x14ac:dyDescent="0.35">
      <c r="A6" s="10" t="s">
        <v>8</v>
      </c>
      <c r="B6" s="2">
        <v>2256</v>
      </c>
    </row>
    <row r="7" spans="1:2" x14ac:dyDescent="0.35">
      <c r="A7" s="6" t="s">
        <v>9</v>
      </c>
      <c r="B7" s="3">
        <v>804</v>
      </c>
    </row>
    <row r="8" spans="1:2" x14ac:dyDescent="0.35">
      <c r="A8" s="4" t="s">
        <v>10</v>
      </c>
      <c r="B8" s="2">
        <v>2814</v>
      </c>
    </row>
    <row r="9" spans="1:2" x14ac:dyDescent="0.35">
      <c r="A9" s="6" t="s">
        <v>11</v>
      </c>
      <c r="B9" s="3">
        <v>996</v>
      </c>
    </row>
    <row r="10" spans="1:2" x14ac:dyDescent="0.35">
      <c r="A10" s="10" t="s">
        <v>12</v>
      </c>
      <c r="B10" s="2">
        <v>482</v>
      </c>
    </row>
    <row r="11" spans="1:2" x14ac:dyDescent="0.35">
      <c r="A11" s="7" t="s">
        <v>14</v>
      </c>
      <c r="B11" s="3">
        <v>1830</v>
      </c>
    </row>
    <row r="12" spans="1:2" x14ac:dyDescent="0.35">
      <c r="A12" s="10" t="s">
        <v>2</v>
      </c>
      <c r="B12" s="2">
        <v>3116</v>
      </c>
    </row>
    <row r="13" spans="1:2" x14ac:dyDescent="0.35">
      <c r="A13" s="7" t="s">
        <v>15</v>
      </c>
      <c r="B13" s="3">
        <v>1469</v>
      </c>
    </row>
    <row r="14" spans="1:2" x14ac:dyDescent="0.35">
      <c r="A14" s="10" t="s">
        <v>17</v>
      </c>
      <c r="B14" s="2">
        <v>747</v>
      </c>
    </row>
    <row r="15" spans="1:2" x14ac:dyDescent="0.35">
      <c r="A15" s="6" t="s">
        <v>5</v>
      </c>
      <c r="B15" s="3">
        <v>417</v>
      </c>
    </row>
    <row r="16" spans="1:2" x14ac:dyDescent="0.35">
      <c r="A16" s="4" t="s">
        <v>13</v>
      </c>
      <c r="B16" s="2">
        <v>9477</v>
      </c>
    </row>
    <row r="17" spans="1:2" x14ac:dyDescent="0.35">
      <c r="A17" s="12" t="s">
        <v>19</v>
      </c>
      <c r="B17" s="11">
        <f>SUBTOTAL(109,Tabla5[Cantidad Denuncias Delitos graves])</f>
        <v>29501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0A20-7CD7-499C-9A79-527EB7E48D81}">
  <dimension ref="B2:O17"/>
  <sheetViews>
    <sheetView zoomScale="81" workbookViewId="0">
      <selection activeCell="I17" sqref="I17"/>
    </sheetView>
  </sheetViews>
  <sheetFormatPr baseColWidth="10" defaultRowHeight="14" x14ac:dyDescent="0.35"/>
  <cols>
    <col min="1" max="1" width="4.1796875" style="18" customWidth="1"/>
    <col min="2" max="2" width="25.08984375" style="18" customWidth="1"/>
    <col min="3" max="3" width="17.81640625" style="18" customWidth="1"/>
    <col min="4" max="4" width="13.81640625" style="18" bestFit="1" customWidth="1"/>
    <col min="5" max="5" width="11.26953125" style="18" customWidth="1"/>
    <col min="6" max="8" width="10.90625" style="18"/>
    <col min="9" max="9" width="13.81640625" style="18" bestFit="1" customWidth="1"/>
    <col min="10" max="10" width="15.6328125" style="18" customWidth="1"/>
    <col min="11" max="11" width="13.26953125" style="18" customWidth="1"/>
    <col min="12" max="14" width="10.90625" style="18"/>
    <col min="15" max="15" width="12.6328125" style="18" bestFit="1" customWidth="1"/>
    <col min="16" max="16384" width="10.90625" style="18"/>
  </cols>
  <sheetData>
    <row r="2" spans="2:15" ht="14.5" thickBot="1" x14ac:dyDescent="0.4">
      <c r="B2" s="53" t="s">
        <v>4</v>
      </c>
      <c r="C2" s="54" t="s">
        <v>38</v>
      </c>
      <c r="D2" s="55" t="s">
        <v>47</v>
      </c>
      <c r="E2" s="56" t="s">
        <v>57</v>
      </c>
    </row>
    <row r="3" spans="2:15" ht="14.5" thickBot="1" x14ac:dyDescent="0.4">
      <c r="B3" s="51" t="s">
        <v>3</v>
      </c>
      <c r="C3" s="43">
        <v>804</v>
      </c>
      <c r="D3" s="19" t="str">
        <f t="shared" ref="D3:D17" si="0">IF(C3&lt;=$K$5,$I$5,IF(C3&lt;=$K$6,$I$6,IF(C3&lt;=$K$7,$I$7,IF(C3&lt;=$K$8,$I$8))))</f>
        <v>Media-Segura</v>
      </c>
      <c r="E3" s="52">
        <f t="shared" ref="E3:E17" si="1">IF(D3=$I$5,$L$5*$K$12+$K$13*$O$5,IF(D3=$I$6,$L$6*$K$12+$K$13*$O$6,IF(D3=$I$7,$L$7*$K$12+$K$13*$O$7,IF(D3=$I$8,$L$8*$K$12+$K$13*$O$8))))</f>
        <v>1312158.05</v>
      </c>
      <c r="M3" s="69" t="s">
        <v>49</v>
      </c>
      <c r="N3" s="70"/>
      <c r="O3" s="71"/>
    </row>
    <row r="4" spans="2:15" ht="14.5" thickBot="1" x14ac:dyDescent="0.4">
      <c r="B4" s="51" t="s">
        <v>15</v>
      </c>
      <c r="C4" s="43">
        <v>1469</v>
      </c>
      <c r="D4" s="19" t="str">
        <f t="shared" si="0"/>
        <v>Media-Segura</v>
      </c>
      <c r="E4" s="52">
        <f t="shared" si="1"/>
        <v>1312158.05</v>
      </c>
      <c r="I4" s="24" t="s">
        <v>41</v>
      </c>
      <c r="J4" s="67" t="s">
        <v>46</v>
      </c>
      <c r="K4" s="68"/>
      <c r="L4" s="40" t="s">
        <v>48</v>
      </c>
      <c r="M4" s="40" t="s">
        <v>51</v>
      </c>
      <c r="N4" s="40" t="s">
        <v>50</v>
      </c>
      <c r="O4" s="40" t="s">
        <v>58</v>
      </c>
    </row>
    <row r="5" spans="2:15" ht="14.5" thickBot="1" x14ac:dyDescent="0.4">
      <c r="B5" s="51" t="s">
        <v>5</v>
      </c>
      <c r="C5" s="43">
        <v>417</v>
      </c>
      <c r="D5" s="19" t="str">
        <f t="shared" si="0"/>
        <v>Segura</v>
      </c>
      <c r="E5" s="52">
        <f t="shared" si="1"/>
        <v>754251.05</v>
      </c>
      <c r="I5" s="26" t="s">
        <v>44</v>
      </c>
      <c r="J5" s="25">
        <v>0</v>
      </c>
      <c r="K5" s="32">
        <v>800</v>
      </c>
      <c r="L5" s="20">
        <v>2</v>
      </c>
      <c r="M5" s="35">
        <v>1</v>
      </c>
      <c r="N5" s="35">
        <v>8</v>
      </c>
      <c r="O5" s="36">
        <v>1</v>
      </c>
    </row>
    <row r="6" spans="2:15" ht="14.5" thickBot="1" x14ac:dyDescent="0.4">
      <c r="B6" s="51" t="s">
        <v>11</v>
      </c>
      <c r="C6" s="43">
        <v>996</v>
      </c>
      <c r="D6" s="19" t="str">
        <f t="shared" si="0"/>
        <v>Media-Segura</v>
      </c>
      <c r="E6" s="52">
        <f>IF(D6=$I$5,$L$5*$K$12+$K$13*$O$5,IF(D6=$I$6,$L$6*$K$12+$K$13*$O$6,IF(D6=$I$7,$L$7*$K$12+$K$13*$O$7,IF(D6=$I$8,$L$8*$K$12+$K$13*$O$8))))</f>
        <v>1312158.05</v>
      </c>
      <c r="I6" s="28" t="s">
        <v>45</v>
      </c>
      <c r="J6" s="27">
        <v>801</v>
      </c>
      <c r="K6" s="33">
        <v>1600</v>
      </c>
      <c r="L6" s="37">
        <v>2</v>
      </c>
      <c r="M6" s="19">
        <v>1</v>
      </c>
      <c r="N6" s="19">
        <v>16</v>
      </c>
      <c r="O6" s="21">
        <v>2</v>
      </c>
    </row>
    <row r="7" spans="2:15" ht="14.5" thickBot="1" x14ac:dyDescent="0.4">
      <c r="B7" s="51" t="s">
        <v>1</v>
      </c>
      <c r="C7" s="43">
        <v>614</v>
      </c>
      <c r="D7" s="19" t="str">
        <f t="shared" si="0"/>
        <v>Segura</v>
      </c>
      <c r="E7" s="52">
        <f t="shared" si="1"/>
        <v>754251.05</v>
      </c>
      <c r="I7" s="29" t="s">
        <v>43</v>
      </c>
      <c r="J7" s="27">
        <v>1601</v>
      </c>
      <c r="K7" s="33">
        <v>3000</v>
      </c>
      <c r="L7" s="37">
        <v>4</v>
      </c>
      <c r="M7" s="19">
        <v>2</v>
      </c>
      <c r="N7" s="19">
        <v>24</v>
      </c>
      <c r="O7" s="21">
        <v>6</v>
      </c>
    </row>
    <row r="8" spans="2:15" ht="14.5" thickBot="1" x14ac:dyDescent="0.4">
      <c r="B8" s="51" t="s">
        <v>12</v>
      </c>
      <c r="C8" s="43">
        <v>482</v>
      </c>
      <c r="D8" s="19" t="str">
        <f t="shared" si="0"/>
        <v>Segura</v>
      </c>
      <c r="E8" s="52">
        <f t="shared" si="1"/>
        <v>754251.05</v>
      </c>
      <c r="I8" s="31" t="s">
        <v>42</v>
      </c>
      <c r="J8" s="30">
        <v>3000</v>
      </c>
      <c r="K8" s="34">
        <v>9500</v>
      </c>
      <c r="L8" s="38">
        <v>4</v>
      </c>
      <c r="M8" s="22">
        <v>3</v>
      </c>
      <c r="N8" s="22">
        <v>24</v>
      </c>
      <c r="O8" s="23">
        <v>9</v>
      </c>
    </row>
    <row r="9" spans="2:15" ht="14.5" thickBot="1" x14ac:dyDescent="0.4">
      <c r="B9" s="51" t="s">
        <v>14</v>
      </c>
      <c r="C9" s="43">
        <v>1830</v>
      </c>
      <c r="D9" s="19" t="str">
        <f t="shared" si="0"/>
        <v>Media-Peligrosa</v>
      </c>
      <c r="E9" s="52">
        <f t="shared" si="1"/>
        <v>3740130.1</v>
      </c>
    </row>
    <row r="10" spans="2:15" ht="14.5" thickBot="1" x14ac:dyDescent="0.4">
      <c r="B10" s="51" t="s">
        <v>7</v>
      </c>
      <c r="C10" s="43">
        <v>1837</v>
      </c>
      <c r="D10" s="19" t="str">
        <f t="shared" si="0"/>
        <v>Media-Peligrosa</v>
      </c>
      <c r="E10" s="52">
        <f t="shared" si="1"/>
        <v>3740130.1</v>
      </c>
      <c r="I10" s="72" t="s">
        <v>52</v>
      </c>
      <c r="J10" s="73"/>
      <c r="K10" s="74"/>
    </row>
    <row r="11" spans="2:15" ht="14.5" thickBot="1" x14ac:dyDescent="0.4">
      <c r="B11" s="51" t="s">
        <v>6</v>
      </c>
      <c r="C11" s="43">
        <v>1424</v>
      </c>
      <c r="D11" s="19" t="str">
        <f t="shared" si="0"/>
        <v>Media-Segura</v>
      </c>
      <c r="E11" s="52">
        <f t="shared" si="1"/>
        <v>1312158.05</v>
      </c>
      <c r="I11" s="24" t="s">
        <v>59</v>
      </c>
      <c r="J11" s="24" t="s">
        <v>60</v>
      </c>
      <c r="K11" s="24" t="s">
        <v>54</v>
      </c>
    </row>
    <row r="12" spans="2:15" ht="14.5" thickBot="1" x14ac:dyDescent="0.4">
      <c r="B12" s="51" t="s">
        <v>0</v>
      </c>
      <c r="C12" s="43">
        <v>1218</v>
      </c>
      <c r="D12" s="19" t="str">
        <f t="shared" si="0"/>
        <v>Media-Segura</v>
      </c>
      <c r="E12" s="52">
        <f t="shared" si="1"/>
        <v>1312158.05</v>
      </c>
      <c r="I12" s="24" t="s">
        <v>48</v>
      </c>
      <c r="J12" s="25">
        <v>1</v>
      </c>
      <c r="K12" s="42">
        <f>82497.5*1.19</f>
        <v>98172.024999999994</v>
      </c>
      <c r="L12" s="39"/>
      <c r="M12" s="39" t="s">
        <v>56</v>
      </c>
    </row>
    <row r="13" spans="2:15" ht="14.5" thickBot="1" x14ac:dyDescent="0.35">
      <c r="B13" s="51" t="s">
        <v>13</v>
      </c>
      <c r="C13" s="43">
        <v>9477</v>
      </c>
      <c r="D13" s="19" t="str">
        <f t="shared" si="0"/>
        <v>Peligrosa</v>
      </c>
      <c r="E13" s="52">
        <f t="shared" si="1"/>
        <v>5413851.0999999996</v>
      </c>
      <c r="I13" s="24" t="s">
        <v>53</v>
      </c>
      <c r="J13" s="30">
        <v>8</v>
      </c>
      <c r="K13" s="41">
        <v>557907</v>
      </c>
      <c r="L13" s="39"/>
      <c r="M13" s="39" t="s">
        <v>55</v>
      </c>
    </row>
    <row r="14" spans="2:15" x14ac:dyDescent="0.35">
      <c r="B14" s="51" t="s">
        <v>16</v>
      </c>
      <c r="C14" s="43">
        <v>747</v>
      </c>
      <c r="D14" s="19" t="str">
        <f t="shared" si="0"/>
        <v>Segura</v>
      </c>
      <c r="E14" s="52">
        <f t="shared" si="1"/>
        <v>754251.05</v>
      </c>
    </row>
    <row r="15" spans="2:15" x14ac:dyDescent="0.35">
      <c r="B15" s="51" t="s">
        <v>2</v>
      </c>
      <c r="C15" s="43">
        <v>3116</v>
      </c>
      <c r="D15" s="19" t="str">
        <f t="shared" si="0"/>
        <v>Peligrosa</v>
      </c>
      <c r="E15" s="52">
        <f t="shared" si="1"/>
        <v>5413851.0999999996</v>
      </c>
    </row>
    <row r="16" spans="2:15" x14ac:dyDescent="0.35">
      <c r="B16" s="51" t="s">
        <v>10</v>
      </c>
      <c r="C16" s="43">
        <v>2814</v>
      </c>
      <c r="D16" s="19" t="str">
        <f t="shared" si="0"/>
        <v>Media-Peligrosa</v>
      </c>
      <c r="E16" s="52">
        <f t="shared" si="1"/>
        <v>3740130.1</v>
      </c>
    </row>
    <row r="17" spans="2:5" x14ac:dyDescent="0.35">
      <c r="B17" s="57" t="s">
        <v>8</v>
      </c>
      <c r="C17" s="58">
        <v>2256</v>
      </c>
      <c r="D17" s="59" t="str">
        <f t="shared" si="0"/>
        <v>Media-Peligrosa</v>
      </c>
      <c r="E17" s="60">
        <f t="shared" si="1"/>
        <v>3740130.1</v>
      </c>
    </row>
  </sheetData>
  <mergeCells count="3">
    <mergeCell ref="J4:K4"/>
    <mergeCell ref="M3:O3"/>
    <mergeCell ref="I10:K10"/>
  </mergeCells>
  <conditionalFormatting sqref="D2:D17">
    <cfRule type="cellIs" dxfId="7" priority="1" operator="equal">
      <formula>"Peligrosa"</formula>
    </cfRule>
    <cfRule type="cellIs" dxfId="6" priority="2" operator="equal">
      <formula>"Media-Peligrosa"</formula>
    </cfRule>
    <cfRule type="cellIs" dxfId="5" priority="3" operator="equal">
      <formula>"Media-Segura"</formula>
    </cfRule>
    <cfRule type="cellIs" dxfId="4" priority="4" operator="equal">
      <formula>"Segura"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70D9-69E1-4F9E-94C0-C10C127FBDE7}">
  <dimension ref="A1:C16"/>
  <sheetViews>
    <sheetView zoomScale="68" workbookViewId="0">
      <selection activeCell="A2" sqref="A2:A16"/>
    </sheetView>
  </sheetViews>
  <sheetFormatPr baseColWidth="10" defaultRowHeight="14.5" x14ac:dyDescent="0.35"/>
  <cols>
    <col min="1" max="1" width="18.54296875" style="1" customWidth="1"/>
    <col min="2" max="2" width="28.453125" style="1" customWidth="1"/>
    <col min="3" max="3" width="41.7265625" style="1" customWidth="1"/>
    <col min="4" max="16384" width="10.90625" style="1"/>
  </cols>
  <sheetData>
    <row r="1" spans="1:3" x14ac:dyDescent="0.35">
      <c r="A1" s="14" t="s">
        <v>4</v>
      </c>
      <c r="B1" s="14" t="s">
        <v>20</v>
      </c>
      <c r="C1" s="14" t="s">
        <v>21</v>
      </c>
    </row>
    <row r="2" spans="1:3" ht="29" x14ac:dyDescent="0.35">
      <c r="A2" s="14" t="s">
        <v>3</v>
      </c>
      <c r="B2" s="15">
        <v>490000</v>
      </c>
      <c r="C2" s="13" t="s">
        <v>22</v>
      </c>
    </row>
    <row r="3" spans="1:3" x14ac:dyDescent="0.35">
      <c r="A3" s="14" t="s">
        <v>15</v>
      </c>
      <c r="B3" s="15">
        <v>210000</v>
      </c>
      <c r="C3" s="13" t="s">
        <v>23</v>
      </c>
    </row>
    <row r="4" spans="1:3" ht="29" x14ac:dyDescent="0.35">
      <c r="A4" s="14" t="s">
        <v>5</v>
      </c>
      <c r="B4" s="15">
        <v>170000</v>
      </c>
      <c r="C4" s="13" t="s">
        <v>24</v>
      </c>
    </row>
    <row r="5" spans="1:3" x14ac:dyDescent="0.35">
      <c r="A5" s="14" t="s">
        <v>11</v>
      </c>
      <c r="B5" s="15">
        <v>250000</v>
      </c>
      <c r="C5" s="13" t="s">
        <v>25</v>
      </c>
    </row>
    <row r="6" spans="1:3" x14ac:dyDescent="0.35">
      <c r="A6" s="14" t="s">
        <v>1</v>
      </c>
      <c r="B6" s="15">
        <v>50000</v>
      </c>
      <c r="C6" s="13" t="s">
        <v>26</v>
      </c>
    </row>
    <row r="7" spans="1:3" x14ac:dyDescent="0.35">
      <c r="A7" s="14" t="s">
        <v>12</v>
      </c>
      <c r="B7" s="15">
        <v>140000</v>
      </c>
      <c r="C7" s="13" t="s">
        <v>27</v>
      </c>
    </row>
    <row r="8" spans="1:3" ht="29" x14ac:dyDescent="0.35">
      <c r="A8" s="14" t="s">
        <v>14</v>
      </c>
      <c r="B8" s="15">
        <v>170000</v>
      </c>
      <c r="C8" s="13" t="s">
        <v>28</v>
      </c>
    </row>
    <row r="9" spans="1:3" ht="29" x14ac:dyDescent="0.35">
      <c r="A9" s="14" t="s">
        <v>7</v>
      </c>
      <c r="B9" s="15">
        <v>210000</v>
      </c>
      <c r="C9" s="13" t="s">
        <v>29</v>
      </c>
    </row>
    <row r="10" spans="1:3" x14ac:dyDescent="0.35">
      <c r="A10" s="14" t="s">
        <v>6</v>
      </c>
      <c r="B10" s="15">
        <v>420000</v>
      </c>
      <c r="C10" s="13" t="s">
        <v>30</v>
      </c>
    </row>
    <row r="11" spans="1:3" ht="29" x14ac:dyDescent="0.35">
      <c r="A11" s="14" t="s">
        <v>0</v>
      </c>
      <c r="B11" s="15">
        <v>115000</v>
      </c>
      <c r="C11" s="13" t="s">
        <v>31</v>
      </c>
    </row>
    <row r="12" spans="1:3" x14ac:dyDescent="0.35">
      <c r="A12" s="14" t="s">
        <v>32</v>
      </c>
      <c r="B12" s="15">
        <v>1120000</v>
      </c>
      <c r="C12" s="13" t="s">
        <v>33</v>
      </c>
    </row>
    <row r="13" spans="1:3" x14ac:dyDescent="0.35">
      <c r="A13" s="14" t="s">
        <v>16</v>
      </c>
      <c r="B13" s="15">
        <v>125000</v>
      </c>
      <c r="C13" s="13" t="s">
        <v>34</v>
      </c>
    </row>
    <row r="14" spans="1:3" ht="29" x14ac:dyDescent="0.35">
      <c r="A14" s="14" t="s">
        <v>2</v>
      </c>
      <c r="B14" s="15">
        <v>85000</v>
      </c>
      <c r="C14" s="13" t="s">
        <v>35</v>
      </c>
    </row>
    <row r="15" spans="1:3" x14ac:dyDescent="0.35">
      <c r="A15" s="14" t="s">
        <v>10</v>
      </c>
      <c r="B15" s="15">
        <v>280000</v>
      </c>
      <c r="C15" s="13" t="s">
        <v>36</v>
      </c>
    </row>
    <row r="16" spans="1:3" ht="29" x14ac:dyDescent="0.35">
      <c r="A16" s="14" t="s">
        <v>8</v>
      </c>
      <c r="B16" s="15">
        <v>180000</v>
      </c>
      <c r="C16" s="13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E12E-1399-4EF5-80C8-473D572C7343}">
  <dimension ref="M2:O3"/>
  <sheetViews>
    <sheetView zoomScale="69" workbookViewId="0">
      <selection activeCell="N4" sqref="N4"/>
    </sheetView>
  </sheetViews>
  <sheetFormatPr baseColWidth="10" defaultRowHeight="14.5" x14ac:dyDescent="0.35"/>
  <cols>
    <col min="14" max="15" width="11.6328125" bestFit="1" customWidth="1"/>
  </cols>
  <sheetData>
    <row r="2" spans="13:15" x14ac:dyDescent="0.35">
      <c r="N2" s="44">
        <v>9432217</v>
      </c>
      <c r="O2" s="44">
        <v>11083371</v>
      </c>
    </row>
    <row r="3" spans="13:15" x14ac:dyDescent="0.35">
      <c r="M3" t="s">
        <v>61</v>
      </c>
      <c r="N3" s="45">
        <f>(N2+O2)/2</f>
        <v>10257794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143C-804D-452C-99AA-6F43DFB1260F}">
  <dimension ref="B1:J17"/>
  <sheetViews>
    <sheetView topLeftCell="A2" zoomScale="61" workbookViewId="0">
      <selection activeCell="M8" sqref="M8"/>
    </sheetView>
  </sheetViews>
  <sheetFormatPr baseColWidth="10" defaultRowHeight="14.5" x14ac:dyDescent="0.35"/>
  <cols>
    <col min="1" max="1" width="2.90625" style="1" customWidth="1"/>
    <col min="2" max="2" width="25.08984375" style="1" customWidth="1"/>
    <col min="3" max="3" width="14.36328125" style="1" customWidth="1"/>
    <col min="4" max="4" width="15.1796875" style="1" customWidth="1"/>
    <col min="5" max="5" width="13.90625" style="1" customWidth="1"/>
    <col min="6" max="6" width="12.08984375" style="1" bestFit="1" customWidth="1"/>
    <col min="7" max="8" width="13.08984375" style="1" bestFit="1" customWidth="1"/>
    <col min="9" max="9" width="10.90625" style="1"/>
    <col min="10" max="10" width="49.1796875" style="1" bestFit="1" customWidth="1"/>
    <col min="11" max="16384" width="10.90625" style="1"/>
  </cols>
  <sheetData>
    <row r="1" spans="2:10" ht="15" thickBot="1" x14ac:dyDescent="0.4"/>
    <row r="2" spans="2:10" ht="44" thickBot="1" x14ac:dyDescent="0.4">
      <c r="B2" s="17" t="s">
        <v>4</v>
      </c>
      <c r="C2" s="16" t="s">
        <v>39</v>
      </c>
      <c r="D2" s="17" t="s">
        <v>40</v>
      </c>
      <c r="E2" s="17" t="s">
        <v>62</v>
      </c>
      <c r="F2" s="17" t="s">
        <v>66</v>
      </c>
      <c r="G2" s="17" t="s">
        <v>65</v>
      </c>
      <c r="H2" s="17" t="s">
        <v>64</v>
      </c>
      <c r="J2" s="1" t="s">
        <v>63</v>
      </c>
    </row>
    <row r="3" spans="2:10" ht="15" thickBot="1" x14ac:dyDescent="0.4">
      <c r="B3" s="48" t="s">
        <v>3</v>
      </c>
      <c r="C3" s="65">
        <f>'Costo Proyecto'!$N$3</f>
        <v>10257794</v>
      </c>
      <c r="D3" s="46">
        <f>'Costo Suelo'!B2*5</f>
        <v>2450000</v>
      </c>
      <c r="E3" s="46">
        <f>'Costo Seguridad M5'!E3</f>
        <v>1312158.05</v>
      </c>
      <c r="F3" s="63">
        <f>C3+D3+E3*12</f>
        <v>28453690.600000001</v>
      </c>
      <c r="G3" s="47">
        <f>C3+D3+E3*60</f>
        <v>91437277</v>
      </c>
      <c r="H3" s="47">
        <f>C3+D3+E3*120</f>
        <v>170166760</v>
      </c>
    </row>
    <row r="4" spans="2:10" ht="15" thickBot="1" x14ac:dyDescent="0.4">
      <c r="B4" s="49" t="s">
        <v>15</v>
      </c>
      <c r="C4" s="65">
        <f>'Costo Proyecto'!$N$3</f>
        <v>10257794</v>
      </c>
      <c r="D4" s="46">
        <f>'Costo Suelo'!B3*5</f>
        <v>1050000</v>
      </c>
      <c r="E4" s="46">
        <f>'Costo Seguridad M5'!E4</f>
        <v>1312158.05</v>
      </c>
      <c r="F4" s="63">
        <f t="shared" ref="F4:F17" si="0">C4+D4+E4*12</f>
        <v>27053690.600000001</v>
      </c>
      <c r="G4" s="47">
        <f t="shared" ref="G4:G17" si="1">C4+D4+E4*60</f>
        <v>90037277</v>
      </c>
      <c r="H4" s="47">
        <f t="shared" ref="H4:H17" si="2">C4+D4+E4*120</f>
        <v>168766760</v>
      </c>
    </row>
    <row r="5" spans="2:10" ht="15" thickBot="1" x14ac:dyDescent="0.4">
      <c r="B5" s="49" t="s">
        <v>5</v>
      </c>
      <c r="C5" s="65">
        <f>'Costo Proyecto'!$N$3</f>
        <v>10257794</v>
      </c>
      <c r="D5" s="46">
        <f>'Costo Suelo'!B4*5</f>
        <v>850000</v>
      </c>
      <c r="E5" s="46">
        <f>'Costo Seguridad M5'!E5</f>
        <v>754251.05</v>
      </c>
      <c r="F5" s="63">
        <f t="shared" si="0"/>
        <v>20158806.600000001</v>
      </c>
      <c r="G5" s="47">
        <f t="shared" si="1"/>
        <v>56362857</v>
      </c>
      <c r="H5" s="47">
        <f t="shared" si="2"/>
        <v>101617920</v>
      </c>
    </row>
    <row r="6" spans="2:10" ht="15" thickBot="1" x14ac:dyDescent="0.4">
      <c r="B6" s="49" t="s">
        <v>11</v>
      </c>
      <c r="C6" s="65">
        <f>'Costo Proyecto'!$N$3</f>
        <v>10257794</v>
      </c>
      <c r="D6" s="46">
        <f>'Costo Suelo'!B5*5</f>
        <v>1250000</v>
      </c>
      <c r="E6" s="46">
        <f>'Costo Seguridad M5'!E6</f>
        <v>1312158.05</v>
      </c>
      <c r="F6" s="63">
        <f t="shared" si="0"/>
        <v>27253690.600000001</v>
      </c>
      <c r="G6" s="47">
        <f t="shared" si="1"/>
        <v>90237277</v>
      </c>
      <c r="H6" s="47">
        <f t="shared" si="2"/>
        <v>168966760</v>
      </c>
    </row>
    <row r="7" spans="2:10" ht="15" thickBot="1" x14ac:dyDescent="0.4">
      <c r="B7" s="49" t="s">
        <v>1</v>
      </c>
      <c r="C7" s="65">
        <f>'Costo Proyecto'!$N$3</f>
        <v>10257794</v>
      </c>
      <c r="D7" s="46">
        <f>'Costo Suelo'!B6*5</f>
        <v>250000</v>
      </c>
      <c r="E7" s="46">
        <f>'Costo Seguridad M5'!E7</f>
        <v>754251.05</v>
      </c>
      <c r="F7" s="63">
        <f t="shared" si="0"/>
        <v>19558806.600000001</v>
      </c>
      <c r="G7" s="47">
        <f t="shared" si="1"/>
        <v>55762857</v>
      </c>
      <c r="H7" s="47">
        <f t="shared" si="2"/>
        <v>101017920</v>
      </c>
    </row>
    <row r="8" spans="2:10" ht="15" thickBot="1" x14ac:dyDescent="0.4">
      <c r="B8" s="49" t="s">
        <v>12</v>
      </c>
      <c r="C8" s="65">
        <f>'Costo Proyecto'!$N$3</f>
        <v>10257794</v>
      </c>
      <c r="D8" s="46">
        <f>'Costo Suelo'!B7*5</f>
        <v>700000</v>
      </c>
      <c r="E8" s="46">
        <f>'Costo Seguridad M5'!E8</f>
        <v>754251.05</v>
      </c>
      <c r="F8" s="63">
        <f t="shared" si="0"/>
        <v>20008806.600000001</v>
      </c>
      <c r="G8" s="47">
        <f t="shared" si="1"/>
        <v>56212857</v>
      </c>
      <c r="H8" s="47">
        <f t="shared" si="2"/>
        <v>101467920</v>
      </c>
    </row>
    <row r="9" spans="2:10" ht="15" thickBot="1" x14ac:dyDescent="0.4">
      <c r="B9" s="49" t="s">
        <v>14</v>
      </c>
      <c r="C9" s="65">
        <f>'Costo Proyecto'!$N$3</f>
        <v>10257794</v>
      </c>
      <c r="D9" s="46">
        <f>'Costo Suelo'!B8*5</f>
        <v>850000</v>
      </c>
      <c r="E9" s="46">
        <f>'Costo Seguridad M5'!E9</f>
        <v>3740130.1</v>
      </c>
      <c r="F9" s="63">
        <f t="shared" si="0"/>
        <v>55989355.200000003</v>
      </c>
      <c r="G9" s="47">
        <f t="shared" si="1"/>
        <v>235515600</v>
      </c>
      <c r="H9" s="47">
        <f t="shared" si="2"/>
        <v>459923406</v>
      </c>
    </row>
    <row r="10" spans="2:10" ht="15" thickBot="1" x14ac:dyDescent="0.4">
      <c r="B10" s="49" t="s">
        <v>7</v>
      </c>
      <c r="C10" s="65">
        <f>'Costo Proyecto'!$N$3</f>
        <v>10257794</v>
      </c>
      <c r="D10" s="46">
        <f>'Costo Suelo'!B9*5</f>
        <v>1050000</v>
      </c>
      <c r="E10" s="46">
        <f>'Costo Seguridad M5'!E10</f>
        <v>3740130.1</v>
      </c>
      <c r="F10" s="63">
        <f t="shared" si="0"/>
        <v>56189355.200000003</v>
      </c>
      <c r="G10" s="47">
        <f t="shared" si="1"/>
        <v>235715600</v>
      </c>
      <c r="H10" s="47">
        <f t="shared" si="2"/>
        <v>460123406</v>
      </c>
    </row>
    <row r="11" spans="2:10" ht="15" thickBot="1" x14ac:dyDescent="0.4">
      <c r="B11" s="49" t="s">
        <v>6</v>
      </c>
      <c r="C11" s="65">
        <f>'Costo Proyecto'!$N$3</f>
        <v>10257794</v>
      </c>
      <c r="D11" s="46">
        <f>'Costo Suelo'!B10*5</f>
        <v>2100000</v>
      </c>
      <c r="E11" s="46">
        <f>'Costo Seguridad M5'!E11</f>
        <v>1312158.05</v>
      </c>
      <c r="F11" s="63">
        <f t="shared" si="0"/>
        <v>28103690.600000001</v>
      </c>
      <c r="G11" s="47">
        <f t="shared" si="1"/>
        <v>91087277</v>
      </c>
      <c r="H11" s="47">
        <f t="shared" si="2"/>
        <v>169816760</v>
      </c>
    </row>
    <row r="12" spans="2:10" ht="15" thickBot="1" x14ac:dyDescent="0.4">
      <c r="B12" s="49" t="s">
        <v>0</v>
      </c>
      <c r="C12" s="65">
        <f>'Costo Proyecto'!$N$3</f>
        <v>10257794</v>
      </c>
      <c r="D12" s="46">
        <f>'Costo Suelo'!B11*5</f>
        <v>575000</v>
      </c>
      <c r="E12" s="46">
        <f>'Costo Seguridad M5'!E12</f>
        <v>1312158.05</v>
      </c>
      <c r="F12" s="63">
        <f t="shared" si="0"/>
        <v>26578690.600000001</v>
      </c>
      <c r="G12" s="47">
        <f t="shared" si="1"/>
        <v>89562277</v>
      </c>
      <c r="H12" s="47">
        <f t="shared" si="2"/>
        <v>168291760</v>
      </c>
    </row>
    <row r="13" spans="2:10" ht="15" thickBot="1" x14ac:dyDescent="0.4">
      <c r="B13" s="49" t="s">
        <v>32</v>
      </c>
      <c r="C13" s="65">
        <f>'Costo Proyecto'!$N$3</f>
        <v>10257794</v>
      </c>
      <c r="D13" s="46">
        <f>'Costo Suelo'!B12*5</f>
        <v>5600000</v>
      </c>
      <c r="E13" s="46">
        <f>'Costo Seguridad M5'!E13</f>
        <v>5413851.0999999996</v>
      </c>
      <c r="F13" s="63">
        <f t="shared" si="0"/>
        <v>80824007.199999988</v>
      </c>
      <c r="G13" s="47">
        <f t="shared" si="1"/>
        <v>340688860</v>
      </c>
      <c r="H13" s="47">
        <f t="shared" si="2"/>
        <v>665519926</v>
      </c>
    </row>
    <row r="14" spans="2:10" ht="15" thickBot="1" x14ac:dyDescent="0.4">
      <c r="B14" s="49" t="s">
        <v>16</v>
      </c>
      <c r="C14" s="65">
        <f>'Costo Proyecto'!$N$3</f>
        <v>10257794</v>
      </c>
      <c r="D14" s="46">
        <f>'Costo Suelo'!B13*5</f>
        <v>625000</v>
      </c>
      <c r="E14" s="46">
        <f>'Costo Seguridad M5'!E14</f>
        <v>754251.05</v>
      </c>
      <c r="F14" s="63">
        <f t="shared" si="0"/>
        <v>19933806.600000001</v>
      </c>
      <c r="G14" s="47">
        <f t="shared" si="1"/>
        <v>56137857</v>
      </c>
      <c r="H14" s="47">
        <f t="shared" si="2"/>
        <v>101392920</v>
      </c>
    </row>
    <row r="15" spans="2:10" ht="15" thickBot="1" x14ac:dyDescent="0.4">
      <c r="B15" s="49" t="s">
        <v>2</v>
      </c>
      <c r="C15" s="65">
        <f>'Costo Proyecto'!$N$3</f>
        <v>10257794</v>
      </c>
      <c r="D15" s="46">
        <f>'Costo Suelo'!B14*5</f>
        <v>425000</v>
      </c>
      <c r="E15" s="46">
        <f>'Costo Seguridad M5'!E15</f>
        <v>5413851.0999999996</v>
      </c>
      <c r="F15" s="63">
        <f t="shared" si="0"/>
        <v>75649007.199999988</v>
      </c>
      <c r="G15" s="47">
        <f t="shared" si="1"/>
        <v>335513860</v>
      </c>
      <c r="H15" s="47">
        <f t="shared" si="2"/>
        <v>660344926</v>
      </c>
    </row>
    <row r="16" spans="2:10" ht="15" thickBot="1" x14ac:dyDescent="0.4">
      <c r="B16" s="49" t="s">
        <v>10</v>
      </c>
      <c r="C16" s="65">
        <f>'Costo Proyecto'!$N$3</f>
        <v>10257794</v>
      </c>
      <c r="D16" s="46">
        <f>'Costo Suelo'!B15*5</f>
        <v>1400000</v>
      </c>
      <c r="E16" s="46">
        <f>'Costo Seguridad M5'!E16</f>
        <v>3740130.1</v>
      </c>
      <c r="F16" s="63">
        <f t="shared" si="0"/>
        <v>56539355.200000003</v>
      </c>
      <c r="G16" s="47">
        <f t="shared" si="1"/>
        <v>236065600</v>
      </c>
      <c r="H16" s="47">
        <f t="shared" si="2"/>
        <v>460473406</v>
      </c>
    </row>
    <row r="17" spans="2:8" ht="15" thickBot="1" x14ac:dyDescent="0.4">
      <c r="B17" s="50" t="s">
        <v>8</v>
      </c>
      <c r="C17" s="66">
        <f>'Costo Proyecto'!$N$3</f>
        <v>10257794</v>
      </c>
      <c r="D17" s="61">
        <f>'Costo Suelo'!B16*5</f>
        <v>900000</v>
      </c>
      <c r="E17" s="61">
        <f>'Costo Seguridad M5'!E17</f>
        <v>3740130.1</v>
      </c>
      <c r="F17" s="64">
        <f t="shared" si="0"/>
        <v>56039355.200000003</v>
      </c>
      <c r="G17" s="62">
        <f t="shared" si="1"/>
        <v>235565600</v>
      </c>
      <c r="H17" s="62">
        <f t="shared" si="2"/>
        <v>459973406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21DE-DF4B-4E1B-9C36-530526B9B606}">
  <dimension ref="B1:DS23"/>
  <sheetViews>
    <sheetView topLeftCell="E5" zoomScale="51" workbookViewId="0">
      <selection activeCell="C12" sqref="C12"/>
    </sheetView>
  </sheetViews>
  <sheetFormatPr baseColWidth="10" defaultRowHeight="15.5" x14ac:dyDescent="0.35"/>
  <cols>
    <col min="1" max="1" width="10.90625" style="78"/>
    <col min="2" max="2" width="23.54296875" style="78" bestFit="1" customWidth="1"/>
    <col min="3" max="3" width="15" style="78" bestFit="1" customWidth="1"/>
    <col min="4" max="4" width="15.26953125" style="78" bestFit="1" customWidth="1"/>
    <col min="5" max="6" width="14.6328125" style="78" bestFit="1" customWidth="1"/>
    <col min="7" max="7" width="15.26953125" style="78" bestFit="1" customWidth="1"/>
    <col min="8" max="8" width="14.6328125" style="78" bestFit="1" customWidth="1"/>
    <col min="9" max="9" width="14.36328125" style="78" bestFit="1" customWidth="1"/>
    <col min="10" max="10" width="14.6328125" style="78" bestFit="1" customWidth="1"/>
    <col min="11" max="12" width="15" style="78" bestFit="1" customWidth="1"/>
    <col min="13" max="13" width="14.08984375" style="78" bestFit="1" customWidth="1"/>
    <col min="14" max="14" width="14.6328125" style="78" bestFit="1" customWidth="1"/>
    <col min="15" max="15" width="14.08984375" style="78" bestFit="1" customWidth="1"/>
    <col min="16" max="16" width="14.36328125" style="78" bestFit="1" customWidth="1"/>
    <col min="17" max="17" width="13.54296875" style="78" bestFit="1" customWidth="1"/>
    <col min="18" max="18" width="14.36328125" style="78" bestFit="1" customWidth="1"/>
    <col min="19" max="19" width="14.08984375" style="78" bestFit="1" customWidth="1"/>
    <col min="20" max="20" width="14.36328125" style="78" bestFit="1" customWidth="1"/>
    <col min="21" max="21" width="14.08984375" style="78" bestFit="1" customWidth="1"/>
    <col min="22" max="22" width="14.6328125" style="78" bestFit="1" customWidth="1"/>
    <col min="23" max="25" width="14.36328125" style="78" bestFit="1" customWidth="1"/>
    <col min="26" max="27" width="15.26953125" style="78" bestFit="1" customWidth="1"/>
    <col min="28" max="40" width="11.81640625" style="78" bestFit="1" customWidth="1"/>
    <col min="41" max="16384" width="10.90625" style="78"/>
  </cols>
  <sheetData>
    <row r="1" spans="2:123" ht="16" thickBot="1" x14ac:dyDescent="0.4"/>
    <row r="2" spans="2:123" ht="16" thickBot="1" x14ac:dyDescent="0.4">
      <c r="D2" s="75" t="s">
        <v>67</v>
      </c>
      <c r="E2" s="76"/>
      <c r="F2" s="76"/>
      <c r="G2" s="76"/>
      <c r="H2" s="76"/>
      <c r="I2" s="76"/>
      <c r="J2" s="76"/>
      <c r="K2" s="76"/>
      <c r="L2" s="76"/>
      <c r="M2" s="76"/>
      <c r="N2" s="76"/>
      <c r="O2" s="77"/>
      <c r="P2" s="75" t="s">
        <v>68</v>
      </c>
      <c r="Q2" s="76"/>
      <c r="R2" s="76"/>
      <c r="S2" s="76"/>
      <c r="T2" s="76"/>
      <c r="U2" s="76"/>
      <c r="V2" s="76"/>
      <c r="W2" s="76"/>
      <c r="X2" s="76"/>
      <c r="Y2" s="76"/>
      <c r="Z2" s="76"/>
      <c r="AA2" s="77"/>
      <c r="AB2" s="75" t="s">
        <v>69</v>
      </c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7"/>
      <c r="AN2" s="75" t="s">
        <v>70</v>
      </c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7"/>
      <c r="AZ2" s="75" t="s">
        <v>71</v>
      </c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7"/>
      <c r="BL2" s="75" t="s">
        <v>72</v>
      </c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7"/>
      <c r="BX2" s="75" t="s">
        <v>73</v>
      </c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7"/>
      <c r="CJ2" s="75" t="s">
        <v>74</v>
      </c>
      <c r="CK2" s="76"/>
      <c r="CL2" s="76"/>
      <c r="CM2" s="76"/>
      <c r="CN2" s="76"/>
      <c r="CO2" s="76"/>
      <c r="CP2" s="76"/>
      <c r="CQ2" s="76"/>
      <c r="CR2" s="76"/>
      <c r="CS2" s="76"/>
      <c r="CT2" s="76"/>
      <c r="CU2" s="77"/>
      <c r="CV2" s="75" t="s">
        <v>75</v>
      </c>
      <c r="CW2" s="76"/>
      <c r="CX2" s="76"/>
      <c r="CY2" s="76"/>
      <c r="CZ2" s="76"/>
      <c r="DA2" s="76"/>
      <c r="DB2" s="76"/>
      <c r="DC2" s="76"/>
      <c r="DD2" s="76"/>
      <c r="DE2" s="76"/>
      <c r="DF2" s="76"/>
      <c r="DG2" s="77"/>
      <c r="DH2" s="75" t="s">
        <v>76</v>
      </c>
      <c r="DI2" s="76"/>
      <c r="DJ2" s="76"/>
      <c r="DK2" s="76"/>
      <c r="DL2" s="76"/>
      <c r="DM2" s="76"/>
      <c r="DN2" s="76"/>
      <c r="DO2" s="76"/>
      <c r="DP2" s="76"/>
      <c r="DQ2" s="76"/>
      <c r="DR2" s="76"/>
      <c r="DS2" s="77"/>
    </row>
    <row r="3" spans="2:123" ht="16" thickBot="1" x14ac:dyDescent="0.4">
      <c r="B3" s="79" t="s">
        <v>77</v>
      </c>
      <c r="C3" s="80">
        <v>0</v>
      </c>
      <c r="D3" s="87">
        <v>1</v>
      </c>
      <c r="E3" s="81">
        <v>2</v>
      </c>
      <c r="F3" s="81">
        <v>3</v>
      </c>
      <c r="G3" s="81">
        <v>4</v>
      </c>
      <c r="H3" s="81">
        <v>5</v>
      </c>
      <c r="I3" s="81">
        <v>6</v>
      </c>
      <c r="J3" s="81">
        <v>7</v>
      </c>
      <c r="K3" s="81">
        <v>8</v>
      </c>
      <c r="L3" s="81">
        <v>9</v>
      </c>
      <c r="M3" s="81">
        <v>10</v>
      </c>
      <c r="N3" s="81">
        <v>11</v>
      </c>
      <c r="O3" s="82">
        <v>12</v>
      </c>
      <c r="P3" s="87">
        <v>1</v>
      </c>
      <c r="Q3" s="81">
        <v>2</v>
      </c>
      <c r="R3" s="81">
        <v>3</v>
      </c>
      <c r="S3" s="81">
        <v>4</v>
      </c>
      <c r="T3" s="81">
        <v>5</v>
      </c>
      <c r="U3" s="81">
        <v>6</v>
      </c>
      <c r="V3" s="81">
        <v>7</v>
      </c>
      <c r="W3" s="81">
        <v>8</v>
      </c>
      <c r="X3" s="81">
        <v>9</v>
      </c>
      <c r="Y3" s="81">
        <v>10</v>
      </c>
      <c r="Z3" s="81">
        <v>11</v>
      </c>
      <c r="AA3" s="82">
        <v>12</v>
      </c>
      <c r="AB3" s="87">
        <v>1</v>
      </c>
      <c r="AC3" s="81">
        <v>2</v>
      </c>
      <c r="AD3" s="81">
        <v>3</v>
      </c>
      <c r="AE3" s="81">
        <v>4</v>
      </c>
      <c r="AF3" s="81">
        <v>5</v>
      </c>
      <c r="AG3" s="81">
        <v>6</v>
      </c>
      <c r="AH3" s="81">
        <v>7</v>
      </c>
      <c r="AI3" s="81">
        <v>8</v>
      </c>
      <c r="AJ3" s="81">
        <v>9</v>
      </c>
      <c r="AK3" s="81">
        <v>10</v>
      </c>
      <c r="AL3" s="81">
        <v>11</v>
      </c>
      <c r="AM3" s="82">
        <v>12</v>
      </c>
      <c r="AN3" s="87">
        <v>1</v>
      </c>
      <c r="AO3" s="81">
        <v>2</v>
      </c>
      <c r="AP3" s="81">
        <v>3</v>
      </c>
      <c r="AQ3" s="81">
        <v>4</v>
      </c>
      <c r="AR3" s="81">
        <v>5</v>
      </c>
      <c r="AS3" s="81">
        <v>6</v>
      </c>
      <c r="AT3" s="81">
        <v>7</v>
      </c>
      <c r="AU3" s="81">
        <v>8</v>
      </c>
      <c r="AV3" s="81">
        <v>9</v>
      </c>
      <c r="AW3" s="81">
        <v>10</v>
      </c>
      <c r="AX3" s="81">
        <v>11</v>
      </c>
      <c r="AY3" s="82">
        <v>12</v>
      </c>
      <c r="AZ3" s="87">
        <v>1</v>
      </c>
      <c r="BA3" s="81">
        <v>2</v>
      </c>
      <c r="BB3" s="81">
        <v>3</v>
      </c>
      <c r="BC3" s="81">
        <v>4</v>
      </c>
      <c r="BD3" s="81">
        <v>5</v>
      </c>
      <c r="BE3" s="81">
        <v>6</v>
      </c>
      <c r="BF3" s="81">
        <v>7</v>
      </c>
      <c r="BG3" s="81">
        <v>8</v>
      </c>
      <c r="BH3" s="81">
        <v>9</v>
      </c>
      <c r="BI3" s="81">
        <v>10</v>
      </c>
      <c r="BJ3" s="81">
        <v>11</v>
      </c>
      <c r="BK3" s="82">
        <v>12</v>
      </c>
      <c r="BL3" s="87">
        <v>1</v>
      </c>
      <c r="BM3" s="81">
        <v>2</v>
      </c>
      <c r="BN3" s="81">
        <v>3</v>
      </c>
      <c r="BO3" s="81">
        <v>4</v>
      </c>
      <c r="BP3" s="81">
        <v>5</v>
      </c>
      <c r="BQ3" s="81">
        <v>6</v>
      </c>
      <c r="BR3" s="81">
        <v>7</v>
      </c>
      <c r="BS3" s="81">
        <v>8</v>
      </c>
      <c r="BT3" s="81">
        <v>9</v>
      </c>
      <c r="BU3" s="81">
        <v>10</v>
      </c>
      <c r="BV3" s="81">
        <v>11</v>
      </c>
      <c r="BW3" s="82">
        <v>12</v>
      </c>
      <c r="BX3" s="87">
        <v>1</v>
      </c>
      <c r="BY3" s="81">
        <v>2</v>
      </c>
      <c r="BZ3" s="81">
        <v>3</v>
      </c>
      <c r="CA3" s="81">
        <v>4</v>
      </c>
      <c r="CB3" s="81">
        <v>5</v>
      </c>
      <c r="CC3" s="81">
        <v>6</v>
      </c>
      <c r="CD3" s="81">
        <v>7</v>
      </c>
      <c r="CE3" s="81">
        <v>8</v>
      </c>
      <c r="CF3" s="81">
        <v>9</v>
      </c>
      <c r="CG3" s="81">
        <v>10</v>
      </c>
      <c r="CH3" s="81">
        <v>11</v>
      </c>
      <c r="CI3" s="82">
        <v>12</v>
      </c>
      <c r="CJ3" s="87">
        <v>1</v>
      </c>
      <c r="CK3" s="81">
        <v>2</v>
      </c>
      <c r="CL3" s="81">
        <v>3</v>
      </c>
      <c r="CM3" s="81">
        <v>4</v>
      </c>
      <c r="CN3" s="81">
        <v>5</v>
      </c>
      <c r="CO3" s="81">
        <v>6</v>
      </c>
      <c r="CP3" s="81">
        <v>7</v>
      </c>
      <c r="CQ3" s="81">
        <v>8</v>
      </c>
      <c r="CR3" s="81">
        <v>9</v>
      </c>
      <c r="CS3" s="81">
        <v>10</v>
      </c>
      <c r="CT3" s="81">
        <v>11</v>
      </c>
      <c r="CU3" s="82">
        <v>12</v>
      </c>
      <c r="CV3" s="87">
        <v>1</v>
      </c>
      <c r="CW3" s="81">
        <v>2</v>
      </c>
      <c r="CX3" s="81">
        <v>3</v>
      </c>
      <c r="CY3" s="81">
        <v>4</v>
      </c>
      <c r="CZ3" s="81">
        <v>5</v>
      </c>
      <c r="DA3" s="81">
        <v>6</v>
      </c>
      <c r="DB3" s="81">
        <v>7</v>
      </c>
      <c r="DC3" s="81">
        <v>8</v>
      </c>
      <c r="DD3" s="81">
        <v>9</v>
      </c>
      <c r="DE3" s="81">
        <v>10</v>
      </c>
      <c r="DF3" s="81">
        <v>11</v>
      </c>
      <c r="DG3" s="82">
        <v>12</v>
      </c>
      <c r="DH3" s="87">
        <v>1</v>
      </c>
      <c r="DI3" s="81">
        <v>2</v>
      </c>
      <c r="DJ3" s="81">
        <v>3</v>
      </c>
      <c r="DK3" s="81">
        <v>4</v>
      </c>
      <c r="DL3" s="81">
        <v>5</v>
      </c>
      <c r="DM3" s="81">
        <v>6</v>
      </c>
      <c r="DN3" s="81">
        <v>7</v>
      </c>
      <c r="DO3" s="81">
        <v>8</v>
      </c>
      <c r="DP3" s="81">
        <v>9</v>
      </c>
      <c r="DQ3" s="81">
        <v>10</v>
      </c>
      <c r="DR3" s="81">
        <v>11</v>
      </c>
      <c r="DS3" s="82">
        <v>12</v>
      </c>
    </row>
    <row r="4" spans="2:123" ht="16" thickBot="1" x14ac:dyDescent="0.4">
      <c r="B4" s="78" t="s">
        <v>54</v>
      </c>
      <c r="C4" s="83">
        <f>C12</f>
        <v>39643.589999999997</v>
      </c>
      <c r="D4" s="95">
        <f>+C4*(1+$C$5)</f>
        <v>39793.574915499994</v>
      </c>
      <c r="E4" s="95">
        <f t="shared" ref="E4:BP4" si="0">+D4*(1+$C$5)</f>
        <v>39944.127273930302</v>
      </c>
      <c r="F4" s="95">
        <f t="shared" si="0"/>
        <v>40095.249222116669</v>
      </c>
      <c r="G4" s="95">
        <f t="shared" si="0"/>
        <v>40246.942915007006</v>
      </c>
      <c r="H4" s="95">
        <f t="shared" si="0"/>
        <v>40399.210515702114</v>
      </c>
      <c r="I4" s="95">
        <f t="shared" si="0"/>
        <v>40552.054195486518</v>
      </c>
      <c r="J4" s="95">
        <f t="shared" si="0"/>
        <v>40705.47613385944</v>
      </c>
      <c r="K4" s="95">
        <f t="shared" si="0"/>
        <v>40859.478518565869</v>
      </c>
      <c r="L4" s="95">
        <f t="shared" si="0"/>
        <v>41014.063545627774</v>
      </c>
      <c r="M4" s="95">
        <f t="shared" si="0"/>
        <v>41169.233419375392</v>
      </c>
      <c r="N4" s="95">
        <f t="shared" si="0"/>
        <v>41324.990352478693</v>
      </c>
      <c r="O4" s="95">
        <f t="shared" si="0"/>
        <v>41481.336565978898</v>
      </c>
      <c r="P4" s="95">
        <f>+O4*(1+$C$5)</f>
        <v>41638.274289320179</v>
      </c>
      <c r="Q4" s="95">
        <f t="shared" si="0"/>
        <v>41795.805760381438</v>
      </c>
      <c r="R4" s="95">
        <f t="shared" si="0"/>
        <v>41953.933225508212</v>
      </c>
      <c r="S4" s="95">
        <f t="shared" si="0"/>
        <v>42112.658939544715</v>
      </c>
      <c r="T4" s="95">
        <f t="shared" si="0"/>
        <v>42271.98516586599</v>
      </c>
      <c r="U4" s="95">
        <f t="shared" si="0"/>
        <v>42431.914176410181</v>
      </c>
      <c r="V4" s="95">
        <f t="shared" si="0"/>
        <v>42592.448251710928</v>
      </c>
      <c r="W4" s="95">
        <f t="shared" si="0"/>
        <v>42753.589680929901</v>
      </c>
      <c r="X4" s="95">
        <f t="shared" si="0"/>
        <v>42915.340761889413</v>
      </c>
      <c r="Y4" s="95">
        <f t="shared" si="0"/>
        <v>43077.703801105221</v>
      </c>
      <c r="Z4" s="95">
        <f t="shared" si="0"/>
        <v>43240.681113819395</v>
      </c>
      <c r="AA4" s="95">
        <f t="shared" si="0"/>
        <v>43404.275024033341</v>
      </c>
      <c r="AB4" s="95">
        <f t="shared" si="0"/>
        <v>43568.487864540934</v>
      </c>
      <c r="AC4" s="95">
        <f t="shared" si="0"/>
        <v>43733.321976961779</v>
      </c>
      <c r="AD4" s="95">
        <f t="shared" si="0"/>
        <v>43898.779711774616</v>
      </c>
      <c r="AE4" s="95">
        <f t="shared" si="0"/>
        <v>44064.863428350829</v>
      </c>
      <c r="AF4" s="95">
        <f t="shared" si="0"/>
        <v>44231.575494988087</v>
      </c>
      <c r="AG4" s="95">
        <f t="shared" si="0"/>
        <v>44398.918288944122</v>
      </c>
      <c r="AH4" s="95">
        <f t="shared" si="0"/>
        <v>44566.894196470625</v>
      </c>
      <c r="AI4" s="95">
        <f t="shared" si="0"/>
        <v>44735.505612847272</v>
      </c>
      <c r="AJ4" s="95">
        <f t="shared" si="0"/>
        <v>44904.754942415871</v>
      </c>
      <c r="AK4" s="95">
        <f t="shared" si="0"/>
        <v>45074.644598614672</v>
      </c>
      <c r="AL4" s="95">
        <f t="shared" si="0"/>
        <v>45245.177004012759</v>
      </c>
      <c r="AM4" s="95">
        <f t="shared" si="0"/>
        <v>45416.354590344607</v>
      </c>
      <c r="AN4" s="95">
        <f t="shared" si="0"/>
        <v>45588.179798544741</v>
      </c>
      <c r="AO4" s="95">
        <f t="shared" si="0"/>
        <v>45760.655078782562</v>
      </c>
      <c r="AP4" s="95">
        <f t="shared" si="0"/>
        <v>45933.782890497285</v>
      </c>
      <c r="AQ4" s="95">
        <f t="shared" si="0"/>
        <v>46107.565702432992</v>
      </c>
      <c r="AR4" s="95">
        <f t="shared" si="0"/>
        <v>46282.005992673861</v>
      </c>
      <c r="AS4" s="95">
        <f t="shared" si="0"/>
        <v>46457.106248679476</v>
      </c>
      <c r="AT4" s="95">
        <f t="shared" si="0"/>
        <v>46632.868967320312</v>
      </c>
      <c r="AU4" s="95">
        <f t="shared" si="0"/>
        <v>46809.296654913334</v>
      </c>
      <c r="AV4" s="95">
        <f t="shared" si="0"/>
        <v>46986.39182725775</v>
      </c>
      <c r="AW4" s="95">
        <f t="shared" si="0"/>
        <v>47164.157009670875</v>
      </c>
      <c r="AX4" s="95">
        <f t="shared" si="0"/>
        <v>47342.594737024127</v>
      </c>
      <c r="AY4" s="95">
        <f t="shared" si="0"/>
        <v>47521.707553779197</v>
      </c>
      <c r="AZ4" s="95">
        <f t="shared" si="0"/>
        <v>47701.498014024328</v>
      </c>
      <c r="BA4" s="95">
        <f t="shared" si="0"/>
        <v>47881.968681510712</v>
      </c>
      <c r="BB4" s="95">
        <f t="shared" si="0"/>
        <v>48063.122129689087</v>
      </c>
      <c r="BC4" s="95">
        <f t="shared" si="0"/>
        <v>48244.960941746409</v>
      </c>
      <c r="BD4" s="95">
        <f t="shared" si="0"/>
        <v>48427.487710642679</v>
      </c>
      <c r="BE4" s="95">
        <f t="shared" si="0"/>
        <v>48610.705039147942</v>
      </c>
      <c r="BF4" s="95">
        <f t="shared" si="0"/>
        <v>48794.615539879378</v>
      </c>
      <c r="BG4" s="95">
        <f t="shared" si="0"/>
        <v>48979.221835338583</v>
      </c>
      <c r="BH4" s="95">
        <f t="shared" si="0"/>
        <v>49164.526557948942</v>
      </c>
      <c r="BI4" s="95">
        <f t="shared" si="0"/>
        <v>49350.532350093177</v>
      </c>
      <c r="BJ4" s="95">
        <f t="shared" si="0"/>
        <v>49537.241864151023</v>
      </c>
      <c r="BK4" s="95">
        <f t="shared" si="0"/>
        <v>49724.657762537056</v>
      </c>
      <c r="BL4" s="95">
        <f t="shared" si="0"/>
        <v>49912.78271773865</v>
      </c>
      <c r="BM4" s="95">
        <f t="shared" si="0"/>
        <v>50101.619412354092</v>
      </c>
      <c r="BN4" s="95">
        <f t="shared" si="0"/>
        <v>50291.170539130828</v>
      </c>
      <c r="BO4" s="95">
        <f t="shared" si="0"/>
        <v>50481.438801003867</v>
      </c>
      <c r="BP4" s="95">
        <f t="shared" si="0"/>
        <v>50672.426911134331</v>
      </c>
      <c r="BQ4" s="95">
        <f t="shared" ref="BQ4:DS4" si="1">+BP4*(1+$C$5)</f>
        <v>50864.137592948122</v>
      </c>
      <c r="BR4" s="95">
        <f t="shared" si="1"/>
        <v>51056.573580174772</v>
      </c>
      <c r="BS4" s="95">
        <f t="shared" si="1"/>
        <v>51249.737616886428</v>
      </c>
      <c r="BT4" s="95">
        <f t="shared" si="1"/>
        <v>51443.63245753698</v>
      </c>
      <c r="BU4" s="95">
        <f t="shared" si="1"/>
        <v>51638.260867001321</v>
      </c>
      <c r="BV4" s="95">
        <f t="shared" si="1"/>
        <v>51833.625620614803</v>
      </c>
      <c r="BW4" s="95">
        <f t="shared" si="1"/>
        <v>52029.729504212788</v>
      </c>
      <c r="BX4" s="95">
        <f t="shared" si="1"/>
        <v>52226.57531417039</v>
      </c>
      <c r="BY4" s="95">
        <f t="shared" si="1"/>
        <v>52424.165857442327</v>
      </c>
      <c r="BZ4" s="95">
        <f t="shared" si="1"/>
        <v>52622.503951602979</v>
      </c>
      <c r="CA4" s="95">
        <f t="shared" si="1"/>
        <v>52821.592424886541</v>
      </c>
      <c r="CB4" s="95">
        <f t="shared" si="1"/>
        <v>53021.434116227356</v>
      </c>
      <c r="CC4" s="95">
        <f t="shared" si="1"/>
        <v>53222.03187530041</v>
      </c>
      <c r="CD4" s="95">
        <f t="shared" si="1"/>
        <v>53423.388562561959</v>
      </c>
      <c r="CE4" s="95">
        <f t="shared" si="1"/>
        <v>53625.507049290311</v>
      </c>
      <c r="CF4" s="95">
        <f t="shared" si="1"/>
        <v>53828.390217626787</v>
      </c>
      <c r="CG4" s="95">
        <f t="shared" si="1"/>
        <v>54032.040960616803</v>
      </c>
      <c r="CH4" s="95">
        <f t="shared" si="1"/>
        <v>54236.462182251133</v>
      </c>
      <c r="CI4" s="95">
        <f t="shared" si="1"/>
        <v>54441.656797507312</v>
      </c>
      <c r="CJ4" s="95">
        <f t="shared" si="1"/>
        <v>54647.627732391207</v>
      </c>
      <c r="CK4" s="95">
        <f t="shared" si="1"/>
        <v>54854.377923978747</v>
      </c>
      <c r="CL4" s="95">
        <f t="shared" si="1"/>
        <v>55061.910320457799</v>
      </c>
      <c r="CM4" s="95">
        <f t="shared" si="1"/>
        <v>55270.227881170191</v>
      </c>
      <c r="CN4" s="95">
        <f t="shared" si="1"/>
        <v>55479.333576653946</v>
      </c>
      <c r="CO4" s="95">
        <f t="shared" si="1"/>
        <v>55689.230388685617</v>
      </c>
      <c r="CP4" s="95">
        <f t="shared" si="1"/>
        <v>55899.921310322803</v>
      </c>
      <c r="CQ4" s="95">
        <f t="shared" si="1"/>
        <v>56111.409345946849</v>
      </c>
      <c r="CR4" s="95">
        <f t="shared" si="1"/>
        <v>56323.697511305676</v>
      </c>
      <c r="CS4" s="95">
        <f t="shared" si="1"/>
        <v>56536.788833556777</v>
      </c>
      <c r="CT4" s="95">
        <f t="shared" si="1"/>
        <v>56750.686351310396</v>
      </c>
      <c r="CU4" s="95">
        <f t="shared" si="1"/>
        <v>56965.39311467285</v>
      </c>
      <c r="CV4" s="95">
        <f t="shared" si="1"/>
        <v>57180.912185290021</v>
      </c>
      <c r="CW4" s="95">
        <f t="shared" si="1"/>
        <v>57397.246636391028</v>
      </c>
      <c r="CX4" s="95">
        <f t="shared" si="1"/>
        <v>57614.399552832037</v>
      </c>
      <c r="CY4" s="95">
        <f t="shared" si="1"/>
        <v>57832.374031140251</v>
      </c>
      <c r="CZ4" s="95">
        <f t="shared" si="1"/>
        <v>58051.173179558056</v>
      </c>
      <c r="DA4" s="95">
        <f t="shared" si="1"/>
        <v>58270.800118087376</v>
      </c>
      <c r="DB4" s="95">
        <f t="shared" si="1"/>
        <v>58491.257978534137</v>
      </c>
      <c r="DC4" s="95">
        <f t="shared" si="1"/>
        <v>58712.549904552921</v>
      </c>
      <c r="DD4" s="95">
        <f t="shared" si="1"/>
        <v>58934.679051691812</v>
      </c>
      <c r="DE4" s="95">
        <f t="shared" si="1"/>
        <v>59157.648587437376</v>
      </c>
      <c r="DF4" s="95">
        <f t="shared" si="1"/>
        <v>59381.461691259843</v>
      </c>
      <c r="DG4" s="95">
        <f t="shared" si="1"/>
        <v>59606.121554658435</v>
      </c>
      <c r="DH4" s="95">
        <f t="shared" si="1"/>
        <v>59831.631381206891</v>
      </c>
      <c r="DI4" s="95">
        <f t="shared" si="1"/>
        <v>60057.994386599115</v>
      </c>
      <c r="DJ4" s="95">
        <f t="shared" si="1"/>
        <v>60285.213798695077</v>
      </c>
      <c r="DK4" s="95">
        <f t="shared" si="1"/>
        <v>60513.292857566805</v>
      </c>
      <c r="DL4" s="95">
        <f t="shared" si="1"/>
        <v>60742.234815544594</v>
      </c>
      <c r="DM4" s="95">
        <f t="shared" si="1"/>
        <v>60972.042937263403</v>
      </c>
      <c r="DN4" s="95">
        <f t="shared" si="1"/>
        <v>61202.72049970938</v>
      </c>
      <c r="DO4" s="95">
        <f t="shared" si="1"/>
        <v>61434.270792266609</v>
      </c>
      <c r="DP4" s="95">
        <f t="shared" si="1"/>
        <v>61666.697116764015</v>
      </c>
      <c r="DQ4" s="95">
        <f t="shared" si="1"/>
        <v>61900.002787522433</v>
      </c>
      <c r="DR4" s="95">
        <f t="shared" si="1"/>
        <v>62134.191131401887</v>
      </c>
      <c r="DS4" s="95">
        <f t="shared" si="1"/>
        <v>62369.265487849021</v>
      </c>
    </row>
    <row r="5" spans="2:123" x14ac:dyDescent="0.35">
      <c r="B5" s="78" t="s">
        <v>78</v>
      </c>
      <c r="C5" s="94">
        <f>C13%/12</f>
        <v>3.7833333333333334E-3</v>
      </c>
    </row>
    <row r="7" spans="2:123" ht="16" thickBot="1" x14ac:dyDescent="0.4"/>
    <row r="8" spans="2:123" ht="16" thickBot="1" x14ac:dyDescent="0.4">
      <c r="B8" s="88" t="s">
        <v>90</v>
      </c>
      <c r="C8" s="85" t="s">
        <v>67</v>
      </c>
      <c r="D8" s="84" t="s">
        <v>68</v>
      </c>
      <c r="E8" s="84" t="s">
        <v>69</v>
      </c>
      <c r="F8" s="84" t="s">
        <v>70</v>
      </c>
      <c r="G8" s="84" t="s">
        <v>71</v>
      </c>
      <c r="H8" s="84" t="s">
        <v>72</v>
      </c>
      <c r="I8" s="84" t="s">
        <v>73</v>
      </c>
      <c r="J8" s="84" t="s">
        <v>74</v>
      </c>
      <c r="K8" s="84" t="s">
        <v>75</v>
      </c>
      <c r="L8" s="86" t="s">
        <v>76</v>
      </c>
    </row>
    <row r="9" spans="2:123" ht="16" thickBot="1" x14ac:dyDescent="0.4">
      <c r="C9" s="96">
        <f>O4</f>
        <v>41481.336565978898</v>
      </c>
      <c r="D9" s="97">
        <f>AA4</f>
        <v>43404.275024033341</v>
      </c>
      <c r="E9" s="97">
        <f>AM4</f>
        <v>45416.354590344607</v>
      </c>
      <c r="F9" s="97">
        <f>AY4</f>
        <v>47521.707553779197</v>
      </c>
      <c r="G9" s="97">
        <f>BK4</f>
        <v>49724.657762537056</v>
      </c>
      <c r="H9" s="97">
        <f>BW4</f>
        <v>52029.729504212788</v>
      </c>
      <c r="I9" s="97">
        <f>CI4</f>
        <v>54441.656797507312</v>
      </c>
      <c r="J9" s="97">
        <f>CU4</f>
        <v>56965.39311467285</v>
      </c>
      <c r="K9" s="97">
        <f>DG4</f>
        <v>59606.121554658435</v>
      </c>
      <c r="L9" s="98">
        <f>DS4</f>
        <v>62369.265487849021</v>
      </c>
    </row>
    <row r="11" spans="2:123" ht="16" thickBot="1" x14ac:dyDescent="0.4"/>
    <row r="12" spans="2:123" x14ac:dyDescent="0.35">
      <c r="B12" s="85" t="s">
        <v>91</v>
      </c>
      <c r="C12" s="89">
        <v>39643.589999999997</v>
      </c>
    </row>
    <row r="13" spans="2:123" ht="16" thickBot="1" x14ac:dyDescent="0.4">
      <c r="B13" s="90" t="s">
        <v>78</v>
      </c>
      <c r="C13" s="91">
        <f>AVERAGE(C14:C23)</f>
        <v>4.54</v>
      </c>
    </row>
    <row r="14" spans="2:123" x14ac:dyDescent="0.35">
      <c r="B14" s="85" t="s">
        <v>80</v>
      </c>
      <c r="C14" s="86">
        <v>3.4</v>
      </c>
    </row>
    <row r="15" spans="2:123" x14ac:dyDescent="0.35">
      <c r="B15" s="92" t="s">
        <v>81</v>
      </c>
      <c r="C15" s="93">
        <v>4.5</v>
      </c>
    </row>
    <row r="16" spans="2:123" x14ac:dyDescent="0.35">
      <c r="B16" s="92" t="s">
        <v>82</v>
      </c>
      <c r="C16" s="93">
        <v>3.9</v>
      </c>
    </row>
    <row r="17" spans="2:3" x14ac:dyDescent="0.35">
      <c r="B17" s="92" t="s">
        <v>83</v>
      </c>
      <c r="C17" s="93">
        <v>12.8</v>
      </c>
    </row>
    <row r="18" spans="2:3" x14ac:dyDescent="0.35">
      <c r="B18" s="92" t="s">
        <v>84</v>
      </c>
      <c r="C18" s="93">
        <v>7.2</v>
      </c>
    </row>
    <row r="19" spans="2:3" x14ac:dyDescent="0.35">
      <c r="B19" s="92" t="s">
        <v>85</v>
      </c>
      <c r="C19" s="93">
        <v>3</v>
      </c>
    </row>
    <row r="20" spans="2:3" x14ac:dyDescent="0.35">
      <c r="B20" s="92" t="s">
        <v>86</v>
      </c>
      <c r="C20" s="93">
        <v>3</v>
      </c>
    </row>
    <row r="21" spans="2:3" x14ac:dyDescent="0.35">
      <c r="B21" s="92" t="s">
        <v>87</v>
      </c>
      <c r="C21" s="93">
        <v>2.6</v>
      </c>
    </row>
    <row r="22" spans="2:3" x14ac:dyDescent="0.35">
      <c r="B22" s="92" t="s">
        <v>88</v>
      </c>
      <c r="C22" s="93">
        <v>2.2999999999999998</v>
      </c>
    </row>
    <row r="23" spans="2:3" ht="16" thickBot="1" x14ac:dyDescent="0.4">
      <c r="B23" s="87" t="s">
        <v>89</v>
      </c>
      <c r="C23" s="82">
        <v>2.7</v>
      </c>
    </row>
  </sheetData>
  <mergeCells count="10">
    <mergeCell ref="BX2:CI2"/>
    <mergeCell ref="CJ2:CU2"/>
    <mergeCell ref="CV2:DG2"/>
    <mergeCell ref="DH2:DS2"/>
    <mergeCell ref="D2:O2"/>
    <mergeCell ref="P2:AA2"/>
    <mergeCell ref="AB2:AM2"/>
    <mergeCell ref="AN2:AY2"/>
    <mergeCell ref="AZ2:BK2"/>
    <mergeCell ref="BL2:BW2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F0EC-8A89-4904-8C90-6EEB35A4C70E}">
  <dimension ref="B1:Q17"/>
  <sheetViews>
    <sheetView tabSelected="1" topLeftCell="D1" zoomScale="59" workbookViewId="0">
      <selection activeCell="Q3" sqref="Q3:Q17"/>
    </sheetView>
  </sheetViews>
  <sheetFormatPr baseColWidth="10" defaultRowHeight="14.5" x14ac:dyDescent="0.35"/>
  <cols>
    <col min="1" max="1" width="2.90625" style="1" customWidth="1"/>
    <col min="2" max="2" width="25.08984375" style="1" customWidth="1"/>
    <col min="3" max="3" width="14.36328125" style="1" customWidth="1"/>
    <col min="4" max="4" width="15.1796875" style="1" customWidth="1"/>
    <col min="5" max="5" width="15.26953125" style="1" customWidth="1"/>
    <col min="6" max="6" width="12.08984375" style="1" bestFit="1" customWidth="1"/>
    <col min="7" max="11" width="12.08984375" style="1" customWidth="1"/>
    <col min="12" max="13" width="13.26953125" style="1" bestFit="1" customWidth="1"/>
    <col min="14" max="15" width="13.08984375" style="1" bestFit="1" customWidth="1"/>
    <col min="16" max="17" width="13.26953125" style="1" bestFit="1" customWidth="1"/>
    <col min="18" max="16384" width="10.90625" style="1"/>
  </cols>
  <sheetData>
    <row r="1" spans="2:17" ht="15" thickBot="1" x14ac:dyDescent="0.4"/>
    <row r="2" spans="2:17" ht="44" thickBot="1" x14ac:dyDescent="0.4">
      <c r="B2" s="17" t="s">
        <v>4</v>
      </c>
      <c r="C2" s="16" t="s">
        <v>39</v>
      </c>
      <c r="D2" s="17" t="s">
        <v>40</v>
      </c>
      <c r="E2" s="17" t="s">
        <v>67</v>
      </c>
      <c r="F2" s="17" t="s">
        <v>68</v>
      </c>
      <c r="G2" s="17" t="s">
        <v>69</v>
      </c>
      <c r="H2" s="17" t="s">
        <v>70</v>
      </c>
      <c r="I2" s="17" t="s">
        <v>71</v>
      </c>
      <c r="J2" s="17" t="s">
        <v>72</v>
      </c>
      <c r="K2" s="17" t="s">
        <v>73</v>
      </c>
      <c r="L2" s="17" t="s">
        <v>74</v>
      </c>
      <c r="M2" s="17" t="s">
        <v>75</v>
      </c>
      <c r="N2" s="17" t="s">
        <v>76</v>
      </c>
      <c r="O2" s="103" t="s">
        <v>117</v>
      </c>
      <c r="P2" s="120" t="s">
        <v>115</v>
      </c>
      <c r="Q2" s="120" t="s">
        <v>116</v>
      </c>
    </row>
    <row r="3" spans="2:17" ht="15" thickBot="1" x14ac:dyDescent="0.4">
      <c r="B3" s="48" t="s">
        <v>3</v>
      </c>
      <c r="C3" s="65">
        <f>'Costo Proyecto'!$N$3</f>
        <v>10257794</v>
      </c>
      <c r="D3" s="63">
        <f>'Costo Suelo'!B2*5</f>
        <v>2450000</v>
      </c>
      <c r="E3" s="105">
        <f>$C3+$D3+Tabla13[[#This Row],[Costo]]*12</f>
        <v>28453690.600000001</v>
      </c>
      <c r="F3" s="46">
        <f>$C3+$D3+Tabla13[[#This Row],[Costo A1]]*12</f>
        <v>29074396.246518247</v>
      </c>
      <c r="G3" s="46">
        <f>$C3+$D3+Tabla13[[#This Row],[Costo A2]]*12</f>
        <v>29723875.76720814</v>
      </c>
      <c r="H3" s="46">
        <f>$C3+$D3+Tabla13[[#This Row],[Costo A3]]*12</f>
        <v>30403463.024327096</v>
      </c>
      <c r="I3" s="63">
        <f>$C3+$D3+Tabla13[[#This Row],[Costo A4]]*12</f>
        <v>31114553.713603765</v>
      </c>
      <c r="J3" s="104">
        <f>$C3+$D3+Tabla13[[#This Row],[Costo A5]]*12</f>
        <v>31858608.230634622</v>
      </c>
      <c r="K3" s="106">
        <f>$C3+$D3+Tabla13[[#This Row],[Costo A6]]*12</f>
        <v>32637154.670157224</v>
      </c>
      <c r="L3" s="46">
        <f>$C3+$D3+Tabla13[[#This Row],[Costo A7]]*12</f>
        <v>33451791.964359939</v>
      </c>
      <c r="M3" s="46">
        <f>$C3+$D3+Tabla13[[#This Row],[Costo A8]]*12</f>
        <v>34304193.166673377</v>
      </c>
      <c r="N3" s="63">
        <f>$C3+$D3+Tabla13[[#This Row],[Costo A9]]*12</f>
        <v>35196108.887787655</v>
      </c>
      <c r="O3" s="117">
        <f>$C3+$D3+Tabla13[[#This Row],[Costo A10]]*12</f>
        <v>36129370.890952088</v>
      </c>
      <c r="P3" s="124">
        <f>SUM(E3:I3)</f>
        <v>148769979.35165727</v>
      </c>
      <c r="Q3" s="121">
        <f>SUM(E3:N3)</f>
        <v>316217836.2712701</v>
      </c>
    </row>
    <row r="4" spans="2:17" ht="15" thickBot="1" x14ac:dyDescent="0.4">
      <c r="B4" s="49" t="s">
        <v>15</v>
      </c>
      <c r="C4" s="65">
        <f>'Costo Proyecto'!$N$3</f>
        <v>10257794</v>
      </c>
      <c r="D4" s="63">
        <f>'Costo Suelo'!B3*5</f>
        <v>1050000</v>
      </c>
      <c r="E4" s="108">
        <f>$C4+$D4+Tabla13[[#This Row],[Costo]]*12</f>
        <v>27053690.600000001</v>
      </c>
      <c r="F4" s="107">
        <f>$C4+$D4+Tabla13[[#This Row],[Costo A1]]*12</f>
        <v>27674396.246518247</v>
      </c>
      <c r="G4" s="107">
        <f>$C4+$D4+Tabla13[[#This Row],[Costo A2]]*12</f>
        <v>28323875.76720814</v>
      </c>
      <c r="H4" s="107">
        <f>$C4+$D4+Tabla13[[#This Row],[Costo A3]]*12</f>
        <v>29003463.024327096</v>
      </c>
      <c r="I4" s="111">
        <f>$C4+$D4+Tabla13[[#This Row],[Costo A4]]*12</f>
        <v>29714553.713603765</v>
      </c>
      <c r="J4" s="115">
        <f>$C4+$D4+Tabla13[[#This Row],[Costo A5]]*12</f>
        <v>30458608.230634622</v>
      </c>
      <c r="K4" s="113">
        <f>$C4+$D4+Tabla13[[#This Row],[Costo A6]]*12</f>
        <v>31237154.670157224</v>
      </c>
      <c r="L4" s="107">
        <f>$C4+$D4+Tabla13[[#This Row],[Costo A7]]*12</f>
        <v>32051791.964359939</v>
      </c>
      <c r="M4" s="107">
        <f>$C4+$D4+Tabla13[[#This Row],[Costo A8]]*12</f>
        <v>32904193.166673373</v>
      </c>
      <c r="N4" s="111">
        <f>$C4+$D4+Tabla13[[#This Row],[Costo A9]]*12</f>
        <v>33796108.887787655</v>
      </c>
      <c r="O4" s="118">
        <f>$C4+$D4+Tabla13[[#This Row],[Costo A10]]*12</f>
        <v>34729370.890952088</v>
      </c>
      <c r="P4" s="125">
        <f t="shared" ref="P4:P17" si="0">SUM(E4:I4)</f>
        <v>141769979.35165727</v>
      </c>
      <c r="Q4" s="122">
        <f t="shared" ref="Q4:Q17" si="1">SUM(E4:N4)</f>
        <v>302217836.2712701</v>
      </c>
    </row>
    <row r="5" spans="2:17" ht="15" thickBot="1" x14ac:dyDescent="0.4">
      <c r="B5" s="49" t="s">
        <v>5</v>
      </c>
      <c r="C5" s="65">
        <f>'Costo Proyecto'!$N$3</f>
        <v>10257794</v>
      </c>
      <c r="D5" s="63">
        <f>'Costo Suelo'!B4*5</f>
        <v>850000</v>
      </c>
      <c r="E5" s="108">
        <f>$C5+$D5+Tabla13[[#This Row],[Costo]]*12</f>
        <v>20158806.600000001</v>
      </c>
      <c r="F5" s="107">
        <f>$C5+$D5+Tabla13[[#This Row],[Costo A1]]*12</f>
        <v>20469159.423259124</v>
      </c>
      <c r="G5" s="107">
        <f>$C5+$D5+Tabla13[[#This Row],[Costo A2]]*12</f>
        <v>20793899.183604069</v>
      </c>
      <c r="H5" s="107">
        <f>$C5+$D5+Tabla13[[#This Row],[Costo A3]]*12</f>
        <v>21133692.812163547</v>
      </c>
      <c r="I5" s="111">
        <f>$C5+$D5+Tabla13[[#This Row],[Costo A4]]*12</f>
        <v>21489238.156801883</v>
      </c>
      <c r="J5" s="115">
        <f>$C5+$D5+Tabla13[[#This Row],[Costo A5]]*12</f>
        <v>21861265.415317312</v>
      </c>
      <c r="K5" s="113">
        <f>$C5+$D5+Tabla13[[#This Row],[Costo A6]]*12</f>
        <v>22250538.635078613</v>
      </c>
      <c r="L5" s="107">
        <f>$C5+$D5+Tabla13[[#This Row],[Costo A7]]*12</f>
        <v>22657857.28217997</v>
      </c>
      <c r="M5" s="107">
        <f>$C5+$D5+Tabla13[[#This Row],[Costo A8]]*12</f>
        <v>23084057.883336686</v>
      </c>
      <c r="N5" s="111">
        <f>$C5+$D5+Tabla13[[#This Row],[Costo A9]]*12</f>
        <v>23530015.743893828</v>
      </c>
      <c r="O5" s="118">
        <f>$C5+$D5+Tabla13[[#This Row],[Costo A10]]*12</f>
        <v>23996646.745476045</v>
      </c>
      <c r="P5" s="125">
        <f t="shared" si="0"/>
        <v>104044796.17582862</v>
      </c>
      <c r="Q5" s="122">
        <f t="shared" si="1"/>
        <v>217428531.13563505</v>
      </c>
    </row>
    <row r="6" spans="2:17" ht="15" thickBot="1" x14ac:dyDescent="0.4">
      <c r="B6" s="49" t="s">
        <v>11</v>
      </c>
      <c r="C6" s="65">
        <f>'Costo Proyecto'!$N$3</f>
        <v>10257794</v>
      </c>
      <c r="D6" s="63">
        <f>'Costo Suelo'!B5*5</f>
        <v>1250000</v>
      </c>
      <c r="E6" s="108">
        <f>$C6+$D6+Tabla13[[#This Row],[Costo]]*12</f>
        <v>27253690.600000001</v>
      </c>
      <c r="F6" s="107">
        <f>$C6+$D6+Tabla13[[#This Row],[Costo A1]]*12</f>
        <v>27874396.246518247</v>
      </c>
      <c r="G6" s="107">
        <f>$C6+$D6+Tabla13[[#This Row],[Costo A2]]*12</f>
        <v>28523875.76720814</v>
      </c>
      <c r="H6" s="107">
        <f>$C6+$D6+Tabla13[[#This Row],[Costo A3]]*12</f>
        <v>29203463.024327096</v>
      </c>
      <c r="I6" s="111">
        <f>$C6+$D6+Tabla13[[#This Row],[Costo A4]]*12</f>
        <v>29914553.713603765</v>
      </c>
      <c r="J6" s="115">
        <f>$C6+$D6+Tabla13[[#This Row],[Costo A5]]*12</f>
        <v>30658608.230634622</v>
      </c>
      <c r="K6" s="113">
        <f>$C6+$D6+Tabla13[[#This Row],[Costo A6]]*12</f>
        <v>31437154.670157224</v>
      </c>
      <c r="L6" s="107">
        <f>$C6+$D6+Tabla13[[#This Row],[Costo A7]]*12</f>
        <v>32251791.964359939</v>
      </c>
      <c r="M6" s="107">
        <f>$C6+$D6+Tabla13[[#This Row],[Costo A8]]*12</f>
        <v>33104193.166673373</v>
      </c>
      <c r="N6" s="111">
        <f>$C6+$D6+Tabla13[[#This Row],[Costo A9]]*12</f>
        <v>33996108.887787655</v>
      </c>
      <c r="O6" s="118">
        <f>$C6+$D6+Tabla13[[#This Row],[Costo A10]]*12</f>
        <v>34929370.890952088</v>
      </c>
      <c r="P6" s="125">
        <f t="shared" si="0"/>
        <v>142769979.35165727</v>
      </c>
      <c r="Q6" s="122">
        <f t="shared" si="1"/>
        <v>304217836.2712701</v>
      </c>
    </row>
    <row r="7" spans="2:17" ht="15" thickBot="1" x14ac:dyDescent="0.4">
      <c r="B7" s="49" t="s">
        <v>1</v>
      </c>
      <c r="C7" s="65">
        <f>'Costo Proyecto'!$N$3</f>
        <v>10257794</v>
      </c>
      <c r="D7" s="63">
        <f>'Costo Suelo'!B6*5</f>
        <v>250000</v>
      </c>
      <c r="E7" s="108">
        <f>$C7+$D7+Tabla13[[#This Row],[Costo]]*12</f>
        <v>19558806.600000001</v>
      </c>
      <c r="F7" s="107">
        <f>$C7+$D7+Tabla13[[#This Row],[Costo A1]]*12</f>
        <v>19869159.423259124</v>
      </c>
      <c r="G7" s="107">
        <f>$C7+$D7+Tabla13[[#This Row],[Costo A2]]*12</f>
        <v>20193899.183604069</v>
      </c>
      <c r="H7" s="107">
        <f>$C7+$D7+Tabla13[[#This Row],[Costo A3]]*12</f>
        <v>20533692.812163547</v>
      </c>
      <c r="I7" s="111">
        <f>$C7+$D7+Tabla13[[#This Row],[Costo A4]]*12</f>
        <v>20889238.156801883</v>
      </c>
      <c r="J7" s="115">
        <f>$C7+$D7+Tabla13[[#This Row],[Costo A5]]*12</f>
        <v>21261265.415317312</v>
      </c>
      <c r="K7" s="113">
        <f>$C7+$D7+Tabla13[[#This Row],[Costo A6]]*12</f>
        <v>21650538.635078613</v>
      </c>
      <c r="L7" s="107">
        <f>$C7+$D7+Tabla13[[#This Row],[Costo A7]]*12</f>
        <v>22057857.28217997</v>
      </c>
      <c r="M7" s="107">
        <f>$C7+$D7+Tabla13[[#This Row],[Costo A8]]*12</f>
        <v>22484057.883336686</v>
      </c>
      <c r="N7" s="111">
        <f>$C7+$D7+Tabla13[[#This Row],[Costo A9]]*12</f>
        <v>22930015.743893828</v>
      </c>
      <c r="O7" s="118">
        <f>$C7+$D7+Tabla13[[#This Row],[Costo A10]]*12</f>
        <v>23396646.745476045</v>
      </c>
      <c r="P7" s="125">
        <f t="shared" si="0"/>
        <v>101044796.17582862</v>
      </c>
      <c r="Q7" s="122">
        <f t="shared" si="1"/>
        <v>211428531.13563505</v>
      </c>
    </row>
    <row r="8" spans="2:17" ht="15" thickBot="1" x14ac:dyDescent="0.4">
      <c r="B8" s="49" t="s">
        <v>12</v>
      </c>
      <c r="C8" s="65">
        <f>'Costo Proyecto'!$N$3</f>
        <v>10257794</v>
      </c>
      <c r="D8" s="63">
        <f>'Costo Suelo'!B7*5</f>
        <v>700000</v>
      </c>
      <c r="E8" s="108">
        <f>$C8+$D8+Tabla13[[#This Row],[Costo]]*12</f>
        <v>20008806.600000001</v>
      </c>
      <c r="F8" s="107">
        <f>$C8+$D8+Tabla13[[#This Row],[Costo A1]]*12</f>
        <v>20319159.423259124</v>
      </c>
      <c r="G8" s="107">
        <f>$C8+$D8+Tabla13[[#This Row],[Costo A2]]*12</f>
        <v>20643899.183604069</v>
      </c>
      <c r="H8" s="107">
        <f>$C8+$D8+Tabla13[[#This Row],[Costo A3]]*12</f>
        <v>20983692.812163547</v>
      </c>
      <c r="I8" s="111">
        <f>$C8+$D8+Tabla13[[#This Row],[Costo A4]]*12</f>
        <v>21339238.156801883</v>
      </c>
      <c r="J8" s="115">
        <f>$C8+$D8+Tabla13[[#This Row],[Costo A5]]*12</f>
        <v>21711265.415317312</v>
      </c>
      <c r="K8" s="113">
        <f>$C8+$D8+Tabla13[[#This Row],[Costo A6]]*12</f>
        <v>22100538.635078613</v>
      </c>
      <c r="L8" s="107">
        <f>$C8+$D8+Tabla13[[#This Row],[Costo A7]]*12</f>
        <v>22507857.28217997</v>
      </c>
      <c r="M8" s="107">
        <f>$C8+$D8+Tabla13[[#This Row],[Costo A8]]*12</f>
        <v>22934057.883336686</v>
      </c>
      <c r="N8" s="111">
        <f>$C8+$D8+Tabla13[[#This Row],[Costo A9]]*12</f>
        <v>23380015.743893828</v>
      </c>
      <c r="O8" s="118">
        <f>$C8+$D8+Tabla13[[#This Row],[Costo A10]]*12</f>
        <v>23846646.745476045</v>
      </c>
      <c r="P8" s="125">
        <f t="shared" si="0"/>
        <v>103294796.17582862</v>
      </c>
      <c r="Q8" s="122">
        <f t="shared" si="1"/>
        <v>215928531.13563505</v>
      </c>
    </row>
    <row r="9" spans="2:17" ht="15" thickBot="1" x14ac:dyDescent="0.4">
      <c r="B9" s="49" t="s">
        <v>14</v>
      </c>
      <c r="C9" s="65">
        <f>'Costo Proyecto'!$N$3</f>
        <v>10257794</v>
      </c>
      <c r="D9" s="63">
        <f>'Costo Suelo'!B8*5</f>
        <v>850000</v>
      </c>
      <c r="E9" s="108">
        <f>$C9+$D9+Tabla13[[#This Row],[Costo]]*12</f>
        <v>55989355.200000003</v>
      </c>
      <c r="F9" s="107">
        <f>$C9+$D9+Tabla13[[#This Row],[Costo A1]]*12</f>
        <v>57851472.139554739</v>
      </c>
      <c r="G9" s="107">
        <f>$C9+$D9+Tabla13[[#This Row],[Costo A2]]*12</f>
        <v>59799910.701624416</v>
      </c>
      <c r="H9" s="107">
        <f>$C9+$D9+Tabla13[[#This Row],[Costo A3]]*12</f>
        <v>61838672.472981274</v>
      </c>
      <c r="I9" s="111">
        <f>$C9+$D9+Tabla13[[#This Row],[Costo A4]]*12</f>
        <v>63971944.540811285</v>
      </c>
      <c r="J9" s="115">
        <f>$C9+$D9+Tabla13[[#This Row],[Costo A5]]*12</f>
        <v>66204108.091903858</v>
      </c>
      <c r="K9" s="113">
        <f>$C9+$D9+Tabla13[[#This Row],[Costo A6]]*12</f>
        <v>68539747.410471678</v>
      </c>
      <c r="L9" s="107">
        <f>$C9+$D9+Tabla13[[#This Row],[Costo A7]]*12</f>
        <v>70983659.293079808</v>
      </c>
      <c r="M9" s="107">
        <f>$C9+$D9+Tabla13[[#This Row],[Costo A8]]*12</f>
        <v>73540862.900020123</v>
      </c>
      <c r="N9" s="111">
        <f>$C9+$D9+Tabla13[[#This Row],[Costo A9]]*12</f>
        <v>76216610.063362971</v>
      </c>
      <c r="O9" s="118">
        <f>$C9+$D9+Tabla13[[#This Row],[Costo A10]]*12</f>
        <v>79016396.072856262</v>
      </c>
      <c r="P9" s="125">
        <f t="shared" si="0"/>
        <v>299451355.05497169</v>
      </c>
      <c r="Q9" s="122">
        <f t="shared" si="1"/>
        <v>654936342.81381011</v>
      </c>
    </row>
    <row r="10" spans="2:17" ht="15" thickBot="1" x14ac:dyDescent="0.4">
      <c r="B10" s="49" t="s">
        <v>7</v>
      </c>
      <c r="C10" s="65">
        <f>'Costo Proyecto'!$N$3</f>
        <v>10257794</v>
      </c>
      <c r="D10" s="63">
        <f>'Costo Suelo'!B9*5</f>
        <v>1050000</v>
      </c>
      <c r="E10" s="108">
        <f>$C10+$D10+Tabla13[[#This Row],[Costo]]*12</f>
        <v>56189355.200000003</v>
      </c>
      <c r="F10" s="107">
        <f>$C10+$D10+Tabla13[[#This Row],[Costo A1]]*12</f>
        <v>58051472.139554739</v>
      </c>
      <c r="G10" s="107">
        <f>$C10+$D10+Tabla13[[#This Row],[Costo A2]]*12</f>
        <v>59999910.701624416</v>
      </c>
      <c r="H10" s="107">
        <f>$C10+$D10+Tabla13[[#This Row],[Costo A3]]*12</f>
        <v>62038672.472981274</v>
      </c>
      <c r="I10" s="111">
        <f>$C10+$D10+Tabla13[[#This Row],[Costo A4]]*12</f>
        <v>64171944.540811285</v>
      </c>
      <c r="J10" s="115">
        <f>$C10+$D10+Tabla13[[#This Row],[Costo A5]]*12</f>
        <v>66404108.091903858</v>
      </c>
      <c r="K10" s="113">
        <f>$C10+$D10+Tabla13[[#This Row],[Costo A6]]*12</f>
        <v>68739747.410471678</v>
      </c>
      <c r="L10" s="107">
        <f>$C10+$D10+Tabla13[[#This Row],[Costo A7]]*12</f>
        <v>71183659.293079808</v>
      </c>
      <c r="M10" s="107">
        <f>$C10+$D10+Tabla13[[#This Row],[Costo A8]]*12</f>
        <v>73740862.900020123</v>
      </c>
      <c r="N10" s="111">
        <f>$C10+$D10+Tabla13[[#This Row],[Costo A9]]*12</f>
        <v>76416610.063362971</v>
      </c>
      <c r="O10" s="118">
        <f>$C10+$D10+Tabla13[[#This Row],[Costo A10]]*12</f>
        <v>79216396.072856262</v>
      </c>
      <c r="P10" s="125">
        <f t="shared" si="0"/>
        <v>300451355.05497169</v>
      </c>
      <c r="Q10" s="122">
        <f t="shared" si="1"/>
        <v>656936342.81381011</v>
      </c>
    </row>
    <row r="11" spans="2:17" ht="15" thickBot="1" x14ac:dyDescent="0.4">
      <c r="B11" s="49" t="s">
        <v>6</v>
      </c>
      <c r="C11" s="65">
        <f>'Costo Proyecto'!$N$3</f>
        <v>10257794</v>
      </c>
      <c r="D11" s="63">
        <f>'Costo Suelo'!B10*5</f>
        <v>2100000</v>
      </c>
      <c r="E11" s="108">
        <f>$C11+$D11+Tabla13[[#This Row],[Costo]]*12</f>
        <v>28103690.600000001</v>
      </c>
      <c r="F11" s="107">
        <f>$C11+$D11+Tabla13[[#This Row],[Costo A1]]*12</f>
        <v>28724396.246518247</v>
      </c>
      <c r="G11" s="107">
        <f>$C11+$D11+Tabla13[[#This Row],[Costo A2]]*12</f>
        <v>29373875.76720814</v>
      </c>
      <c r="H11" s="107">
        <f>$C11+$D11+Tabla13[[#This Row],[Costo A3]]*12</f>
        <v>30053463.024327096</v>
      </c>
      <c r="I11" s="111">
        <f>$C11+$D11+Tabla13[[#This Row],[Costo A4]]*12</f>
        <v>30764553.713603765</v>
      </c>
      <c r="J11" s="115">
        <f>$C11+$D11+Tabla13[[#This Row],[Costo A5]]*12</f>
        <v>31508608.230634622</v>
      </c>
      <c r="K11" s="113">
        <f>$C11+$D11+Tabla13[[#This Row],[Costo A6]]*12</f>
        <v>32287154.670157224</v>
      </c>
      <c r="L11" s="107">
        <f>$C11+$D11+Tabla13[[#This Row],[Costo A7]]*12</f>
        <v>33101791.964359939</v>
      </c>
      <c r="M11" s="107">
        <f>$C11+$D11+Tabla13[[#This Row],[Costo A8]]*12</f>
        <v>33954193.166673377</v>
      </c>
      <c r="N11" s="111">
        <f>$C11+$D11+Tabla13[[#This Row],[Costo A9]]*12</f>
        <v>34846108.887787655</v>
      </c>
      <c r="O11" s="118">
        <f>$C11+$D11+Tabla13[[#This Row],[Costo A10]]*12</f>
        <v>35779370.890952088</v>
      </c>
      <c r="P11" s="125">
        <f t="shared" si="0"/>
        <v>147019979.35165727</v>
      </c>
      <c r="Q11" s="122">
        <f t="shared" si="1"/>
        <v>312717836.2712701</v>
      </c>
    </row>
    <row r="12" spans="2:17" ht="15" thickBot="1" x14ac:dyDescent="0.4">
      <c r="B12" s="49" t="s">
        <v>0</v>
      </c>
      <c r="C12" s="65">
        <f>'Costo Proyecto'!$N$3</f>
        <v>10257794</v>
      </c>
      <c r="D12" s="63">
        <f>'Costo Suelo'!B11*5</f>
        <v>575000</v>
      </c>
      <c r="E12" s="108">
        <f>$C12+$D12+Tabla13[[#This Row],[Costo]]*12</f>
        <v>26578690.600000001</v>
      </c>
      <c r="F12" s="107">
        <f>$C12+$D12+Tabla13[[#This Row],[Costo A1]]*12</f>
        <v>27199396.246518247</v>
      </c>
      <c r="G12" s="107">
        <f>$C12+$D12+Tabla13[[#This Row],[Costo A2]]*12</f>
        <v>27848875.76720814</v>
      </c>
      <c r="H12" s="107">
        <f>$C12+$D12+Tabla13[[#This Row],[Costo A3]]*12</f>
        <v>28528463.024327096</v>
      </c>
      <c r="I12" s="111">
        <f>$C12+$D12+Tabla13[[#This Row],[Costo A4]]*12</f>
        <v>29239553.713603765</v>
      </c>
      <c r="J12" s="115">
        <f>$C12+$D12+Tabla13[[#This Row],[Costo A5]]*12</f>
        <v>29983608.230634622</v>
      </c>
      <c r="K12" s="113">
        <f>$C12+$D12+Tabla13[[#This Row],[Costo A6]]*12</f>
        <v>30762154.670157224</v>
      </c>
      <c r="L12" s="107">
        <f>$C12+$D12+Tabla13[[#This Row],[Costo A7]]*12</f>
        <v>31576791.964359939</v>
      </c>
      <c r="M12" s="107">
        <f>$C12+$D12+Tabla13[[#This Row],[Costo A8]]*12</f>
        <v>32429193.166673373</v>
      </c>
      <c r="N12" s="111">
        <f>$C12+$D12+Tabla13[[#This Row],[Costo A9]]*12</f>
        <v>33321108.887787655</v>
      </c>
      <c r="O12" s="118">
        <f>$C12+$D12+Tabla13[[#This Row],[Costo A10]]*12</f>
        <v>34254370.890952088</v>
      </c>
      <c r="P12" s="125">
        <f t="shared" si="0"/>
        <v>139394979.35165727</v>
      </c>
      <c r="Q12" s="122">
        <f t="shared" si="1"/>
        <v>297467836.2712701</v>
      </c>
    </row>
    <row r="13" spans="2:17" ht="15" thickBot="1" x14ac:dyDescent="0.4">
      <c r="B13" s="49" t="s">
        <v>32</v>
      </c>
      <c r="C13" s="65">
        <f>'Costo Proyecto'!$N$3</f>
        <v>10257794</v>
      </c>
      <c r="D13" s="63">
        <f>'Costo Suelo'!B12*5</f>
        <v>5600000</v>
      </c>
      <c r="E13" s="108">
        <f>$C13+$D13+Tabla13[[#This Row],[Costo]]*12</f>
        <v>80824007.199999988</v>
      </c>
      <c r="F13" s="107">
        <f>$C13+$D13+Tabla13[[#This Row],[Costo A1]]*12</f>
        <v>83617182.6093321</v>
      </c>
      <c r="G13" s="107">
        <f>$C13+$D13+Tabla13[[#This Row],[Costo A2]]*12</f>
        <v>86539840.452436626</v>
      </c>
      <c r="H13" s="107">
        <f>$C13+$D13+Tabla13[[#This Row],[Costo A3]]*12</f>
        <v>89597983.109471917</v>
      </c>
      <c r="I13" s="111">
        <f>$C13+$D13+Tabla13[[#This Row],[Costo A4]]*12</f>
        <v>92797891.211216927</v>
      </c>
      <c r="J13" s="115">
        <f>$C13+$D13+Tabla13[[#This Row],[Costo A5]]*12</f>
        <v>96146136.537855789</v>
      </c>
      <c r="K13" s="113">
        <f>$C13+$D13+Tabla13[[#This Row],[Costo A6]]*12</f>
        <v>99649595.515707508</v>
      </c>
      <c r="L13" s="107">
        <f>$C13+$D13+Tabla13[[#This Row],[Costo A7]]*12</f>
        <v>103315463.33961971</v>
      </c>
      <c r="M13" s="107">
        <f>$C13+$D13+Tabla13[[#This Row],[Costo A8]]*12</f>
        <v>107151268.75003017</v>
      </c>
      <c r="N13" s="111">
        <f>$C13+$D13+Tabla13[[#This Row],[Costo A9]]*12</f>
        <v>111164889.49504444</v>
      </c>
      <c r="O13" s="118">
        <f>$C13+$D13+Tabla13[[#This Row],[Costo A10]]*12</f>
        <v>115364568.50928439</v>
      </c>
      <c r="P13" s="125">
        <f t="shared" si="0"/>
        <v>433376904.58245754</v>
      </c>
      <c r="Q13" s="122">
        <f t="shared" si="1"/>
        <v>950804258.22071528</v>
      </c>
    </row>
    <row r="14" spans="2:17" ht="15" thickBot="1" x14ac:dyDescent="0.4">
      <c r="B14" s="49" t="s">
        <v>16</v>
      </c>
      <c r="C14" s="65">
        <f>'Costo Proyecto'!$N$3</f>
        <v>10257794</v>
      </c>
      <c r="D14" s="63">
        <f>'Costo Suelo'!B13*5</f>
        <v>625000</v>
      </c>
      <c r="E14" s="108">
        <f>$C14+$D14+Tabla13[[#This Row],[Costo]]*12</f>
        <v>19933806.600000001</v>
      </c>
      <c r="F14" s="107">
        <f>$C14+$D14+Tabla13[[#This Row],[Costo A1]]*12</f>
        <v>20244159.423259124</v>
      </c>
      <c r="G14" s="107">
        <f>$C14+$D14+Tabla13[[#This Row],[Costo A2]]*12</f>
        <v>20568899.183604069</v>
      </c>
      <c r="H14" s="107">
        <f>$C14+$D14+Tabla13[[#This Row],[Costo A3]]*12</f>
        <v>20908692.812163547</v>
      </c>
      <c r="I14" s="111">
        <f>$C14+$D14+Tabla13[[#This Row],[Costo A4]]*12</f>
        <v>21264238.156801883</v>
      </c>
      <c r="J14" s="115">
        <f>$C14+$D14+Tabla13[[#This Row],[Costo A5]]*12</f>
        <v>21636265.415317312</v>
      </c>
      <c r="K14" s="113">
        <f>$C14+$D14+Tabla13[[#This Row],[Costo A6]]*12</f>
        <v>22025538.635078613</v>
      </c>
      <c r="L14" s="107">
        <f>$C14+$D14+Tabla13[[#This Row],[Costo A7]]*12</f>
        <v>22432857.28217997</v>
      </c>
      <c r="M14" s="107">
        <f>$C14+$D14+Tabla13[[#This Row],[Costo A8]]*12</f>
        <v>22859057.883336686</v>
      </c>
      <c r="N14" s="111">
        <f>$C14+$D14+Tabla13[[#This Row],[Costo A9]]*12</f>
        <v>23305015.743893828</v>
      </c>
      <c r="O14" s="118">
        <f>$C14+$D14+Tabla13[[#This Row],[Costo A10]]*12</f>
        <v>23771646.745476045</v>
      </c>
      <c r="P14" s="125">
        <f t="shared" si="0"/>
        <v>102919796.17582862</v>
      </c>
      <c r="Q14" s="122">
        <f t="shared" si="1"/>
        <v>215178531.13563505</v>
      </c>
    </row>
    <row r="15" spans="2:17" ht="15" thickBot="1" x14ac:dyDescent="0.4">
      <c r="B15" s="49" t="s">
        <v>2</v>
      </c>
      <c r="C15" s="65">
        <f>'Costo Proyecto'!$N$3</f>
        <v>10257794</v>
      </c>
      <c r="D15" s="63">
        <f>'Costo Suelo'!B14*5</f>
        <v>425000</v>
      </c>
      <c r="E15" s="108">
        <f>$C15+$D15+Tabla13[[#This Row],[Costo]]*12</f>
        <v>75649007.199999988</v>
      </c>
      <c r="F15" s="107">
        <f>$C15+$D15+Tabla13[[#This Row],[Costo A1]]*12</f>
        <v>78442182.6093321</v>
      </c>
      <c r="G15" s="107">
        <f>$C15+$D15+Tabla13[[#This Row],[Costo A2]]*12</f>
        <v>81364840.452436626</v>
      </c>
      <c r="H15" s="107">
        <f>$C15+$D15+Tabla13[[#This Row],[Costo A3]]*12</f>
        <v>84422983.109471917</v>
      </c>
      <c r="I15" s="111">
        <f>$C15+$D15+Tabla13[[#This Row],[Costo A4]]*12</f>
        <v>87622891.211216927</v>
      </c>
      <c r="J15" s="115">
        <f>$C15+$D15+Tabla13[[#This Row],[Costo A5]]*12</f>
        <v>90971136.537855789</v>
      </c>
      <c r="K15" s="113">
        <f>$C15+$D15+Tabla13[[#This Row],[Costo A6]]*12</f>
        <v>94474595.515707508</v>
      </c>
      <c r="L15" s="107">
        <f>$C15+$D15+Tabla13[[#This Row],[Costo A7]]*12</f>
        <v>98140463.339619711</v>
      </c>
      <c r="M15" s="107">
        <f>$C15+$D15+Tabla13[[#This Row],[Costo A8]]*12</f>
        <v>101976268.75003017</v>
      </c>
      <c r="N15" s="111">
        <f>$C15+$D15+Tabla13[[#This Row],[Costo A9]]*12</f>
        <v>105989889.49504444</v>
      </c>
      <c r="O15" s="118">
        <f>$C15+$D15+Tabla13[[#This Row],[Costo A10]]*12</f>
        <v>110189568.50928439</v>
      </c>
      <c r="P15" s="125">
        <f t="shared" si="0"/>
        <v>407501904.58245754</v>
      </c>
      <c r="Q15" s="122">
        <f t="shared" si="1"/>
        <v>899054258.22071528</v>
      </c>
    </row>
    <row r="16" spans="2:17" ht="15" thickBot="1" x14ac:dyDescent="0.4">
      <c r="B16" s="49" t="s">
        <v>10</v>
      </c>
      <c r="C16" s="65">
        <f>'Costo Proyecto'!$N$3</f>
        <v>10257794</v>
      </c>
      <c r="D16" s="63">
        <f>'Costo Suelo'!B15*5</f>
        <v>1400000</v>
      </c>
      <c r="E16" s="108">
        <f>$C16+$D16+Tabla13[[#This Row],[Costo]]*12</f>
        <v>56539355.200000003</v>
      </c>
      <c r="F16" s="107">
        <f>$C16+$D16+Tabla13[[#This Row],[Costo A1]]*12</f>
        <v>58401472.139554739</v>
      </c>
      <c r="G16" s="107">
        <f>$C16+$D16+Tabla13[[#This Row],[Costo A2]]*12</f>
        <v>60349910.701624416</v>
      </c>
      <c r="H16" s="107">
        <f>$C16+$D16+Tabla13[[#This Row],[Costo A3]]*12</f>
        <v>62388672.472981274</v>
      </c>
      <c r="I16" s="111">
        <f>$C16+$D16+Tabla13[[#This Row],[Costo A4]]*12</f>
        <v>64521944.540811285</v>
      </c>
      <c r="J16" s="115">
        <f>$C16+$D16+Tabla13[[#This Row],[Costo A5]]*12</f>
        <v>66754108.091903858</v>
      </c>
      <c r="K16" s="113">
        <f>$C16+$D16+Tabla13[[#This Row],[Costo A6]]*12</f>
        <v>69089747.410471678</v>
      </c>
      <c r="L16" s="107">
        <f>$C16+$D16+Tabla13[[#This Row],[Costo A7]]*12</f>
        <v>71533659.293079808</v>
      </c>
      <c r="M16" s="107">
        <f>$C16+$D16+Tabla13[[#This Row],[Costo A8]]*12</f>
        <v>74090862.900020123</v>
      </c>
      <c r="N16" s="111">
        <f>$C16+$D16+Tabla13[[#This Row],[Costo A9]]*12</f>
        <v>76766610.063362971</v>
      </c>
      <c r="O16" s="118">
        <f>$C16+$D16+Tabla13[[#This Row],[Costo A10]]*12</f>
        <v>79566396.072856262</v>
      </c>
      <c r="P16" s="125">
        <f t="shared" si="0"/>
        <v>302201355.05497169</v>
      </c>
      <c r="Q16" s="122">
        <f t="shared" si="1"/>
        <v>660436342.81381011</v>
      </c>
    </row>
    <row r="17" spans="2:17" ht="15" thickBot="1" x14ac:dyDescent="0.4">
      <c r="B17" s="50" t="s">
        <v>8</v>
      </c>
      <c r="C17" s="66">
        <f>'Costo Proyecto'!$N$3</f>
        <v>10257794</v>
      </c>
      <c r="D17" s="64">
        <f>'Costo Suelo'!B16*5</f>
        <v>900000</v>
      </c>
      <c r="E17" s="109">
        <f>$C17+$D17+Tabla13[[#This Row],[Costo]]*12</f>
        <v>56039355.200000003</v>
      </c>
      <c r="F17" s="110">
        <f>$C17+$D17+Tabla13[[#This Row],[Costo A1]]*12</f>
        <v>57901472.139554739</v>
      </c>
      <c r="G17" s="110">
        <f>$C17+$D17+Tabla13[[#This Row],[Costo A2]]*12</f>
        <v>59849910.701624416</v>
      </c>
      <c r="H17" s="110">
        <f>$C17+$D17+Tabla13[[#This Row],[Costo A3]]*12</f>
        <v>61888672.472981274</v>
      </c>
      <c r="I17" s="112">
        <f>$C17+$D17+Tabla13[[#This Row],[Costo A4]]*12</f>
        <v>64021944.540811285</v>
      </c>
      <c r="J17" s="116">
        <f>$C17+$D17+Tabla13[[#This Row],[Costo A5]]*12</f>
        <v>66254108.091903858</v>
      </c>
      <c r="K17" s="114">
        <f>$C17+$D17+Tabla13[[#This Row],[Costo A6]]*12</f>
        <v>68589747.410471678</v>
      </c>
      <c r="L17" s="110">
        <f>$C17+$D17+Tabla13[[#This Row],[Costo A7]]*12</f>
        <v>71033659.293079808</v>
      </c>
      <c r="M17" s="110">
        <f>$C17+$D17+Tabla13[[#This Row],[Costo A8]]*12</f>
        <v>73590862.900020123</v>
      </c>
      <c r="N17" s="112">
        <f>$C17+$D17+Tabla13[[#This Row],[Costo A9]]*12</f>
        <v>76266610.063362971</v>
      </c>
      <c r="O17" s="119">
        <f>$C17+$D17+Tabla13[[#This Row],[Costo A10]]*12</f>
        <v>79066396.072856262</v>
      </c>
      <c r="P17" s="126">
        <f t="shared" si="0"/>
        <v>299701355.05497169</v>
      </c>
      <c r="Q17" s="123">
        <f t="shared" si="1"/>
        <v>655436342.81381011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C67E-8777-4584-9108-6AE439C94D93}">
  <dimension ref="B1:W25"/>
  <sheetViews>
    <sheetView zoomScale="52" workbookViewId="0">
      <selection activeCell="K21" sqref="K21"/>
    </sheetView>
  </sheetViews>
  <sheetFormatPr baseColWidth="10" defaultRowHeight="14" x14ac:dyDescent="0.35"/>
  <cols>
    <col min="1" max="1" width="4.1796875" style="18" customWidth="1"/>
    <col min="2" max="2" width="25.08984375" style="18" customWidth="1"/>
    <col min="3" max="3" width="17.81640625" style="18" customWidth="1"/>
    <col min="4" max="4" width="13.81640625" style="18" bestFit="1" customWidth="1"/>
    <col min="5" max="5" width="16.1796875" style="18" bestFit="1" customWidth="1"/>
    <col min="6" max="6" width="19.36328125" style="18" bestFit="1" customWidth="1"/>
    <col min="7" max="14" width="19.6328125" style="18" bestFit="1" customWidth="1"/>
    <col min="15" max="15" width="20.54296875" style="18" bestFit="1" customWidth="1"/>
    <col min="16" max="16" width="10.90625" style="18"/>
    <col min="17" max="17" width="13.81640625" style="18" bestFit="1" customWidth="1"/>
    <col min="18" max="18" width="15.6328125" style="18" customWidth="1"/>
    <col min="19" max="19" width="13.26953125" style="18" customWidth="1"/>
    <col min="20" max="22" width="10.90625" style="18"/>
    <col min="23" max="23" width="12.6328125" style="18" bestFit="1" customWidth="1"/>
    <col min="24" max="16384" width="10.90625" style="18"/>
  </cols>
  <sheetData>
    <row r="1" spans="2:23" x14ac:dyDescent="0.35">
      <c r="E1" s="18" t="s">
        <v>94</v>
      </c>
      <c r="F1" s="18" t="s">
        <v>67</v>
      </c>
      <c r="G1" s="18" t="s">
        <v>68</v>
      </c>
      <c r="H1" s="18" t="s">
        <v>69</v>
      </c>
      <c r="I1" s="18" t="s">
        <v>70</v>
      </c>
      <c r="J1" s="18" t="s">
        <v>71</v>
      </c>
      <c r="K1" s="18" t="s">
        <v>72</v>
      </c>
      <c r="L1" s="18" t="s">
        <v>73</v>
      </c>
      <c r="M1" s="18" t="s">
        <v>74</v>
      </c>
      <c r="N1" s="18" t="s">
        <v>75</v>
      </c>
      <c r="O1" s="18" t="s">
        <v>76</v>
      </c>
    </row>
    <row r="2" spans="2:23" ht="14.5" thickBot="1" x14ac:dyDescent="0.4">
      <c r="B2" s="53" t="s">
        <v>4</v>
      </c>
      <c r="C2" s="54" t="s">
        <v>38</v>
      </c>
      <c r="D2" s="55" t="s">
        <v>47</v>
      </c>
      <c r="E2" s="56" t="s">
        <v>57</v>
      </c>
      <c r="F2" s="101" t="s">
        <v>105</v>
      </c>
      <c r="G2" s="101" t="s">
        <v>106</v>
      </c>
      <c r="H2" s="101" t="s">
        <v>107</v>
      </c>
      <c r="I2" s="101" t="s">
        <v>108</v>
      </c>
      <c r="J2" s="101" t="s">
        <v>109</v>
      </c>
      <c r="K2" s="101" t="s">
        <v>110</v>
      </c>
      <c r="L2" s="101" t="s">
        <v>111</v>
      </c>
      <c r="M2" s="101" t="s">
        <v>112</v>
      </c>
      <c r="N2" s="101" t="s">
        <v>113</v>
      </c>
      <c r="O2" s="101" t="s">
        <v>114</v>
      </c>
    </row>
    <row r="3" spans="2:23" ht="14.5" thickBot="1" x14ac:dyDescent="0.4">
      <c r="B3" s="51" t="s">
        <v>3</v>
      </c>
      <c r="C3" s="43">
        <v>804</v>
      </c>
      <c r="D3" s="19" t="str">
        <f t="shared" ref="D3:D17" si="0">IF(C3&lt;=$S$5,$Q$5,IF(C3&lt;=$S$6,$Q$6,IF(C3&lt;=$S$7,$Q$7,IF(C3&lt;=$S$8,$Q$8))))</f>
        <v>Media-Segura</v>
      </c>
      <c r="E3" s="52">
        <f>IF(D3=$Q$5,$T$5*$S$12+$S$13*$W$5,IF(D3=$Q$6,$T$6*$S$12+$S$13*$W$6,IF(D3=$Q$7,$T$7*$S$12+$S$13*$W$7,IF(D3=$Q$8,$T$8*$S$12+$S$13*$W$8))))</f>
        <v>1312158.05</v>
      </c>
      <c r="F3" s="52">
        <f>IF(D3=$Q$5,$T$5*$S$12+$S$16*$W$5,IF(D3=$Q$6,$T$6*$S$12+$S$16*$W$6,IF(D3=$Q$7,$T$7*$S$12+$S$16*$W$7,IF(D3=$Q$8,$T$8*$S$12+$S$16*$W$8))))</f>
        <v>1363883.5205431872</v>
      </c>
      <c r="G3" s="52">
        <f>IF(D3=$Q$5,$T$5*$S$12+$S$17*$W$5,IF(D3=$Q$6,$T$6*$S$12+$S$17*$W$6,IF(D3=$Q$7,$T$7*$S$12+$S$17*$W$7,IF(D3=$Q$8,$T$8*$S$12+$S$17*$W$8))))</f>
        <v>1418006.8139340116</v>
      </c>
      <c r="H3" s="102">
        <f>IF(D3=$Q$5,$T$5*$S$12+$S$18*$W$5,IF(D3=$Q$6,$T$6*$S$12+$S$18*$W$6,IF(D3=$Q$7,$T$7*$S$12+$S$18*$W$7,IF(D3=$Q$8,$T$8*$S$12+$S$18*$W$8))))</f>
        <v>1474639.0853605913</v>
      </c>
      <c r="I3" s="102">
        <f>IF(D3=$Q$5,$T$5*$S$12+$S$19*$W$5,IF(D3=$Q$6,$T$6*$S$12+$S$19*$W$6,IF(D3=$Q$7,$T$7*$S$12+$S$19*$W$7,IF(D3=$Q$8,$T$8*$S$12+$S$19*$W$8))))</f>
        <v>1533896.6428003137</v>
      </c>
      <c r="J3" s="102">
        <f>IF(D3=$Q$5,$T$5*$S$12+$S$20*$W$5,IF(D3=$Q$6,$T$6*$S$12+$S$20*$W$6,IF(D3=$Q$7,$T$7*$S$12+$S$20*$W$7,IF(D3=$Q$8,$T$8*$S$12+$S$20*$W$8))))</f>
        <v>1595901.1858862184</v>
      </c>
      <c r="K3" s="102">
        <f>IF(D3=$Q$5,$T$5*$S$12+$S$21*$W$5,IF(D3=$Q$6,$T$6*$S$12+$S$21*$W$6,IF(D3=$Q$7,$T$7*$S$12+$S$21*$W$7,IF(D3=$Q$8,$T$8*$S$12+$S$21*$W$8))))</f>
        <v>1660780.0558464355</v>
      </c>
      <c r="L3" s="102">
        <f>IF(D3=$Q$5,$T$5*$S$12+$S$22*$W$5,IF(D3=$Q$6,$T$6*$S$12+$S$22*$W$6,IF(D3=$Q$7,$T$7*$S$12+$S$22*$W$7,IF(D3=$Q$8,$T$8*$S$12+$S$22*$W$8))))</f>
        <v>1728666.4970299948</v>
      </c>
      <c r="M3" s="102">
        <f>IF(D3=$Q$5,$T$5*$S$12+$S$23*$W$5,IF(D3=$Q$6,$T$6*$S$12+$S$23*$W$6,IF(D3=$Q$7,$T$7*$S$12+$S$23*$W$7,IF(D3=$Q$8,$T$8*$S$12+$S$23*$W$8))))</f>
        <v>1799699.9305561145</v>
      </c>
      <c r="N3" s="102">
        <f>IF(D3=$Q$5,$T$5*$S$12+$S$24*$W$5,IF(D3=$Q$6,$T$6*$S$12+$S$24*$W$6,IF(D3=$Q$7,$T$7*$S$12+$S$24*$W$7,IF(D3=$Q$8,$T$8*$S$12+$S$24*$W$8))))</f>
        <v>1874026.2406489714</v>
      </c>
      <c r="O3" s="102">
        <f t="shared" ref="O3:O17" si="1">IF(D3=$Q$5,$T$5*$S$12+$S$25*$W$5,IF(D3=$Q$6,$T$6*$S$12+$S$25*$W$6,IF(D3=$Q$7,$T$7*$S$12+$S$25*$W$7,IF(D3=$Q$8,$T$8*$S$12+$S$25*$W$8))))</f>
        <v>1951798.0742460075</v>
      </c>
      <c r="U3" s="69" t="s">
        <v>49</v>
      </c>
      <c r="V3" s="70"/>
      <c r="W3" s="71"/>
    </row>
    <row r="4" spans="2:23" ht="14.5" thickBot="1" x14ac:dyDescent="0.4">
      <c r="B4" s="51" t="s">
        <v>15</v>
      </c>
      <c r="C4" s="43">
        <v>1469</v>
      </c>
      <c r="D4" s="19" t="str">
        <f t="shared" si="0"/>
        <v>Media-Segura</v>
      </c>
      <c r="E4" s="52">
        <f>IF(D4=$Q$5,$T$5*$S$12+$S$13*$W$5,IF(D4=$Q$6,$T$6*$S$12+$S$13*$W$6,IF(D4=$Q$7,$T$7*$S$12+$S$13*$W$7,IF(D4=$Q$8,$T$8*$S$12+$S$13*$W$8))))</f>
        <v>1312158.05</v>
      </c>
      <c r="F4" s="52">
        <f>IF(D4=$Q$5,$T$5*$S$12+$S$16*$W$5,IF(D4=$Q$6,$T$6*$S$12+$S$16*$W$6,IF(D4=$Q$7,$T$7*$S$12+$S$16*$W$7,IF(D4=$Q$8,$T$8*$S$12+$S$16*$W$8))))</f>
        <v>1363883.5205431872</v>
      </c>
      <c r="G4" s="52">
        <f t="shared" ref="G3:G17" si="2">IF(D4=$Q$5,$T$5*$S$12+$S$17*$W$5,IF(D4=$Q$6,$T$6*$S$12+$S$17*$W$6,IF(D4=$Q$7,$T$7*$S$12+$S$17*$W$7,IF(D4=$Q$8,$T$8*$S$12+$S$17*$W$8))))</f>
        <v>1418006.8139340116</v>
      </c>
      <c r="H4" s="52">
        <f t="shared" ref="H3:H17" si="3">IF(D4=$Q$5,$T$5*$S$12+$S$18*$W$5,IF(D4=$Q$6,$T$6*$S$12+$S$18*$W$6,IF(D4=$Q$7,$T$7*$S$12+$S$18*$W$7,IF(D4=$Q$8,$T$8*$S$12+$S$18*$W$8))))</f>
        <v>1474639.0853605913</v>
      </c>
      <c r="I4" s="52">
        <f t="shared" ref="I3:I17" si="4">IF(D4=$Q$5,$T$5*$S$12+$S$19*$W$5,IF(D4=$Q$6,$T$6*$S$12+$S$19*$W$6,IF(D4=$Q$7,$T$7*$S$12+$S$19*$W$7,IF(D4=$Q$8,$T$8*$S$12+$S$19*$W$8))))</f>
        <v>1533896.6428003137</v>
      </c>
      <c r="J4" s="52">
        <f t="shared" ref="J3:J17" si="5">IF(D4=$Q$5,$T$5*$S$12+$S$20*$W$5,IF(D4=$Q$6,$T$6*$S$12+$S$20*$W$6,IF(D4=$Q$7,$T$7*$S$12+$S$20*$W$7,IF(D4=$Q$8,$T$8*$S$12+$S$20*$W$8))))</f>
        <v>1595901.1858862184</v>
      </c>
      <c r="K4" s="52">
        <f>IF(D4=$Q$5,$T$5*$S$12+$S$21*$W$5,IF(D4=$Q$6,$T$6*$S$12+$S$21*$W$6,IF(D4=$Q$7,$T$7*$S$12+$S$21*$W$7,IF(D4=$Q$8,$T$8*$S$12+$S$21*$W$8))))</f>
        <v>1660780.0558464355</v>
      </c>
      <c r="L4" s="52">
        <f t="shared" ref="L3:L17" si="6">IF(D4=$Q$5,$T$5*$S$12+$S$22*$W$5,IF(D4=$Q$6,$T$6*$S$12+$S$22*$W$6,IF(D4=$Q$7,$T$7*$S$12+$S$22*$W$7,IF(D4=$Q$8,$T$8*$S$12+$S$22*$W$8))))</f>
        <v>1728666.4970299948</v>
      </c>
      <c r="M4" s="52">
        <f t="shared" ref="M3:M17" si="7">IF(D4=$Q$5,$T$5*$S$12+$S$23*$W$5,IF(D4=$Q$6,$T$6*$S$12+$S$23*$W$6,IF(D4=$Q$7,$T$7*$S$12+$S$23*$W$7,IF(D4=$Q$8,$T$8*$S$12+$S$23*$W$8))))</f>
        <v>1799699.9305561145</v>
      </c>
      <c r="N4" s="52">
        <f t="shared" ref="N3:N17" si="8">IF(D4=$Q$5,$T$5*$S$12+$S$24*$W$5,IF(D4=$Q$6,$T$6*$S$12+$S$24*$W$6,IF(D4=$Q$7,$T$7*$S$12+$S$24*$W$7,IF(D4=$Q$8,$T$8*$S$12+$S$24*$W$8))))</f>
        <v>1874026.2406489714</v>
      </c>
      <c r="O4" s="52">
        <f t="shared" si="1"/>
        <v>1951798.0742460075</v>
      </c>
      <c r="Q4" s="24" t="s">
        <v>41</v>
      </c>
      <c r="R4" s="67" t="s">
        <v>46</v>
      </c>
      <c r="S4" s="68"/>
      <c r="T4" s="40" t="s">
        <v>48</v>
      </c>
      <c r="U4" s="40" t="s">
        <v>51</v>
      </c>
      <c r="V4" s="40" t="s">
        <v>50</v>
      </c>
      <c r="W4" s="40" t="s">
        <v>58</v>
      </c>
    </row>
    <row r="5" spans="2:23" ht="14.5" thickBot="1" x14ac:dyDescent="0.4">
      <c r="B5" s="51" t="s">
        <v>5</v>
      </c>
      <c r="C5" s="43">
        <v>417</v>
      </c>
      <c r="D5" s="19" t="str">
        <f t="shared" si="0"/>
        <v>Segura</v>
      </c>
      <c r="E5" s="52">
        <f>IF(D5=$Q$5,$T$5*$S$12+$S$13*$W$5,IF(D5=$Q$6,$T$6*$S$12+$S$13*$W$6,IF(D5=$Q$7,$T$7*$S$12+$S$13*$W$7,IF(D5=$Q$8,$T$8*$S$12+$S$13*$W$8))))</f>
        <v>754251.05</v>
      </c>
      <c r="F5" s="52">
        <f t="shared" ref="F4:F17" si="9">IF(D5=$Q$5,$T$5*$S$12+$S$16*$W$5,IF(D5=$Q$6,$T$6*$S$12+$S$16*$W$6,IF(D5=$Q$7,$T$7*$S$12+$S$16*$W$7,IF(D5=$Q$8,$T$8*$S$12+$S$16*$W$8))))</f>
        <v>780113.7852715936</v>
      </c>
      <c r="G5" s="52">
        <f t="shared" si="2"/>
        <v>807175.43196700583</v>
      </c>
      <c r="H5" s="52">
        <f t="shared" si="3"/>
        <v>835491.56768029556</v>
      </c>
      <c r="I5" s="52">
        <f t="shared" si="4"/>
        <v>865120.34640015685</v>
      </c>
      <c r="J5" s="52">
        <f t="shared" si="5"/>
        <v>896122.61794310925</v>
      </c>
      <c r="K5" s="52">
        <f t="shared" ref="K3:K17" si="10">IF(D5=$Q$5,$T$5*$S$12+$S$21*$W$5,IF(D5=$Q$6,$T$6*$S$12+$S$21*$W$6,IF(D5=$Q$7,$T$7*$S$12+$S$21*$W$7,IF(D5=$Q$8,$T$8*$S$12+$S$21*$W$8))))</f>
        <v>928562.05292321765</v>
      </c>
      <c r="L5" s="52">
        <f t="shared" si="6"/>
        <v>962505.27351499745</v>
      </c>
      <c r="M5" s="52">
        <f t="shared" si="7"/>
        <v>998021.99027805729</v>
      </c>
      <c r="N5" s="52">
        <f t="shared" si="8"/>
        <v>1035185.1453244856</v>
      </c>
      <c r="O5" s="52">
        <f t="shared" si="1"/>
        <v>1074071.0621230036</v>
      </c>
      <c r="Q5" s="26" t="s">
        <v>44</v>
      </c>
      <c r="R5" s="25">
        <v>0</v>
      </c>
      <c r="S5" s="32">
        <v>800</v>
      </c>
      <c r="T5" s="20">
        <v>2</v>
      </c>
      <c r="U5" s="35">
        <v>1</v>
      </c>
      <c r="V5" s="35">
        <v>8</v>
      </c>
      <c r="W5" s="36">
        <v>1</v>
      </c>
    </row>
    <row r="6" spans="2:23" ht="14.5" thickBot="1" x14ac:dyDescent="0.4">
      <c r="B6" s="51" t="s">
        <v>11</v>
      </c>
      <c r="C6" s="43">
        <v>996</v>
      </c>
      <c r="D6" s="19" t="str">
        <f t="shared" si="0"/>
        <v>Media-Segura</v>
      </c>
      <c r="E6" s="52">
        <f>IF(D6=$Q$5,$T$5*$S$12+$S$13*$W$5,IF(D6=$Q$6,$T$6*$S$12+$S$13*$W$6,IF(D6=$Q$7,$T$7*$S$12+$S$13*$W$7,IF(D6=$Q$8,$T$8*$S$12+$S$13*$W$8))))</f>
        <v>1312158.05</v>
      </c>
      <c r="F6" s="52">
        <f t="shared" si="9"/>
        <v>1363883.5205431872</v>
      </c>
      <c r="G6" s="52">
        <f t="shared" si="2"/>
        <v>1418006.8139340116</v>
      </c>
      <c r="H6" s="52">
        <f t="shared" si="3"/>
        <v>1474639.0853605913</v>
      </c>
      <c r="I6" s="52">
        <f t="shared" si="4"/>
        <v>1533896.6428003137</v>
      </c>
      <c r="J6" s="52">
        <f t="shared" si="5"/>
        <v>1595901.1858862184</v>
      </c>
      <c r="K6" s="52">
        <f t="shared" si="10"/>
        <v>1660780.0558464355</v>
      </c>
      <c r="L6" s="52">
        <f t="shared" si="6"/>
        <v>1728666.4970299948</v>
      </c>
      <c r="M6" s="52">
        <f t="shared" si="7"/>
        <v>1799699.9305561145</v>
      </c>
      <c r="N6" s="52">
        <f t="shared" si="8"/>
        <v>1874026.2406489714</v>
      </c>
      <c r="O6" s="52">
        <f t="shared" si="1"/>
        <v>1951798.0742460075</v>
      </c>
      <c r="Q6" s="28" t="s">
        <v>45</v>
      </c>
      <c r="R6" s="27">
        <v>801</v>
      </c>
      <c r="S6" s="33">
        <v>1600</v>
      </c>
      <c r="T6" s="37">
        <v>2</v>
      </c>
      <c r="U6" s="19">
        <v>1</v>
      </c>
      <c r="V6" s="19">
        <v>16</v>
      </c>
      <c r="W6" s="21">
        <v>2</v>
      </c>
    </row>
    <row r="7" spans="2:23" ht="14.5" thickBot="1" x14ac:dyDescent="0.4">
      <c r="B7" s="51" t="s">
        <v>1</v>
      </c>
      <c r="C7" s="43">
        <v>614</v>
      </c>
      <c r="D7" s="19" t="str">
        <f t="shared" si="0"/>
        <v>Segura</v>
      </c>
      <c r="E7" s="52">
        <f>IF(D7=$Q$5,$T$5*$S$12+$S$13*$W$5,IF(D7=$Q$6,$T$6*$S$12+$S$13*$W$6,IF(D7=$Q$7,$T$7*$S$12+$S$13*$W$7,IF(D7=$Q$8,$T$8*$S$12+$S$13*$W$8))))</f>
        <v>754251.05</v>
      </c>
      <c r="F7" s="52">
        <f t="shared" si="9"/>
        <v>780113.7852715936</v>
      </c>
      <c r="G7" s="52">
        <f t="shared" si="2"/>
        <v>807175.43196700583</v>
      </c>
      <c r="H7" s="52">
        <f t="shared" si="3"/>
        <v>835491.56768029556</v>
      </c>
      <c r="I7" s="52">
        <f t="shared" si="4"/>
        <v>865120.34640015685</v>
      </c>
      <c r="J7" s="52">
        <f t="shared" si="5"/>
        <v>896122.61794310925</v>
      </c>
      <c r="K7" s="52">
        <f t="shared" si="10"/>
        <v>928562.05292321765</v>
      </c>
      <c r="L7" s="52">
        <f t="shared" si="6"/>
        <v>962505.27351499745</v>
      </c>
      <c r="M7" s="52">
        <f t="shared" si="7"/>
        <v>998021.99027805729</v>
      </c>
      <c r="N7" s="52">
        <f t="shared" si="8"/>
        <v>1035185.1453244856</v>
      </c>
      <c r="O7" s="52">
        <f t="shared" si="1"/>
        <v>1074071.0621230036</v>
      </c>
      <c r="Q7" s="29" t="s">
        <v>43</v>
      </c>
      <c r="R7" s="27">
        <v>1601</v>
      </c>
      <c r="S7" s="33">
        <v>3000</v>
      </c>
      <c r="T7" s="37">
        <v>4</v>
      </c>
      <c r="U7" s="19">
        <v>2</v>
      </c>
      <c r="V7" s="19">
        <v>24</v>
      </c>
      <c r="W7" s="21">
        <v>6</v>
      </c>
    </row>
    <row r="8" spans="2:23" ht="14.5" thickBot="1" x14ac:dyDescent="0.4">
      <c r="B8" s="51" t="s">
        <v>12</v>
      </c>
      <c r="C8" s="43">
        <v>482</v>
      </c>
      <c r="D8" s="19" t="str">
        <f t="shared" si="0"/>
        <v>Segura</v>
      </c>
      <c r="E8" s="52">
        <f>IF(D8=$Q$5,$T$5*$S$12+$S$13*$W$5,IF(D8=$Q$6,$T$6*$S$12+$S$13*$W$6,IF(D8=$Q$7,$T$7*$S$12+$S$13*$W$7,IF(D8=$Q$8,$T$8*$S$12+$S$13*$W$8))))</f>
        <v>754251.05</v>
      </c>
      <c r="F8" s="52">
        <f t="shared" si="9"/>
        <v>780113.7852715936</v>
      </c>
      <c r="G8" s="52">
        <f t="shared" si="2"/>
        <v>807175.43196700583</v>
      </c>
      <c r="H8" s="52">
        <f t="shared" si="3"/>
        <v>835491.56768029556</v>
      </c>
      <c r="I8" s="52">
        <f t="shared" si="4"/>
        <v>865120.34640015685</v>
      </c>
      <c r="J8" s="52">
        <f t="shared" si="5"/>
        <v>896122.61794310925</v>
      </c>
      <c r="K8" s="52">
        <f t="shared" si="10"/>
        <v>928562.05292321765</v>
      </c>
      <c r="L8" s="52">
        <f t="shared" si="6"/>
        <v>962505.27351499745</v>
      </c>
      <c r="M8" s="52">
        <f t="shared" si="7"/>
        <v>998021.99027805729</v>
      </c>
      <c r="N8" s="52">
        <f t="shared" si="8"/>
        <v>1035185.1453244856</v>
      </c>
      <c r="O8" s="52">
        <f t="shared" si="1"/>
        <v>1074071.0621230036</v>
      </c>
      <c r="Q8" s="31" t="s">
        <v>42</v>
      </c>
      <c r="R8" s="30">
        <v>3000</v>
      </c>
      <c r="S8" s="34">
        <v>9500</v>
      </c>
      <c r="T8" s="38">
        <v>4</v>
      </c>
      <c r="U8" s="22">
        <v>3</v>
      </c>
      <c r="V8" s="22">
        <v>24</v>
      </c>
      <c r="W8" s="23">
        <v>9</v>
      </c>
    </row>
    <row r="9" spans="2:23" ht="14.5" thickBot="1" x14ac:dyDescent="0.4">
      <c r="B9" s="51" t="s">
        <v>14</v>
      </c>
      <c r="C9" s="43">
        <v>1830</v>
      </c>
      <c r="D9" s="19" t="str">
        <f t="shared" si="0"/>
        <v>Media-Peligrosa</v>
      </c>
      <c r="E9" s="52">
        <f>IF(D9=$Q$5,$T$5*$S$12+$S$13*$W$5,IF(D9=$Q$6,$T$6*$S$12+$S$13*$W$6,IF(D9=$Q$7,$T$7*$S$12+$S$13*$W$7,IF(D9=$Q$8,$T$8*$S$12+$S$13*$W$8))))</f>
        <v>3740130.1</v>
      </c>
      <c r="F9" s="52">
        <f t="shared" si="9"/>
        <v>3895306.5116295614</v>
      </c>
      <c r="G9" s="52">
        <f t="shared" si="2"/>
        <v>4057676.3918020348</v>
      </c>
      <c r="H9" s="52">
        <f t="shared" si="3"/>
        <v>4227573.2060817732</v>
      </c>
      <c r="I9" s="52">
        <f t="shared" si="4"/>
        <v>4405345.8784009404</v>
      </c>
      <c r="J9" s="52">
        <f t="shared" si="5"/>
        <v>4591359.5076586548</v>
      </c>
      <c r="K9" s="52">
        <f t="shared" si="10"/>
        <v>4785996.1175393062</v>
      </c>
      <c r="L9" s="52">
        <f t="shared" si="6"/>
        <v>4989655.441089984</v>
      </c>
      <c r="M9" s="52">
        <f t="shared" si="7"/>
        <v>5202755.7416683435</v>
      </c>
      <c r="N9" s="52">
        <f t="shared" si="8"/>
        <v>5425734.6719469139</v>
      </c>
      <c r="O9" s="52">
        <f t="shared" si="1"/>
        <v>5659050.1727380222</v>
      </c>
    </row>
    <row r="10" spans="2:23" ht="14.5" thickBot="1" x14ac:dyDescent="0.4">
      <c r="B10" s="51" t="s">
        <v>7</v>
      </c>
      <c r="C10" s="43">
        <v>1837</v>
      </c>
      <c r="D10" s="19" t="str">
        <f t="shared" si="0"/>
        <v>Media-Peligrosa</v>
      </c>
      <c r="E10" s="52">
        <f>IF(D10=$Q$5,$T$5*$S$12+$S$13*$W$5,IF(D10=$Q$6,$T$6*$S$12+$S$13*$W$6,IF(D10=$Q$7,$T$7*$S$12+$S$13*$W$7,IF(D10=$Q$8,$T$8*$S$12+$S$13*$W$8))))</f>
        <v>3740130.1</v>
      </c>
      <c r="F10" s="52">
        <f t="shared" si="9"/>
        <v>3895306.5116295614</v>
      </c>
      <c r="G10" s="52">
        <f t="shared" si="2"/>
        <v>4057676.3918020348</v>
      </c>
      <c r="H10" s="52">
        <f t="shared" si="3"/>
        <v>4227573.2060817732</v>
      </c>
      <c r="I10" s="52">
        <f t="shared" si="4"/>
        <v>4405345.8784009404</v>
      </c>
      <c r="J10" s="52">
        <f t="shared" si="5"/>
        <v>4591359.5076586548</v>
      </c>
      <c r="K10" s="52">
        <f t="shared" si="10"/>
        <v>4785996.1175393062</v>
      </c>
      <c r="L10" s="52">
        <f t="shared" si="6"/>
        <v>4989655.441089984</v>
      </c>
      <c r="M10" s="52">
        <f t="shared" si="7"/>
        <v>5202755.7416683435</v>
      </c>
      <c r="N10" s="52">
        <f t="shared" si="8"/>
        <v>5425734.6719469139</v>
      </c>
      <c r="O10" s="52">
        <f t="shared" si="1"/>
        <v>5659050.1727380222</v>
      </c>
      <c r="Q10" s="72" t="s">
        <v>52</v>
      </c>
      <c r="R10" s="73"/>
      <c r="S10" s="74"/>
    </row>
    <row r="11" spans="2:23" ht="14.5" thickBot="1" x14ac:dyDescent="0.4">
      <c r="B11" s="51" t="s">
        <v>6</v>
      </c>
      <c r="C11" s="43">
        <v>1424</v>
      </c>
      <c r="D11" s="19" t="str">
        <f t="shared" si="0"/>
        <v>Media-Segura</v>
      </c>
      <c r="E11" s="52">
        <f>IF(D11=$Q$5,$T$5*$S$12+$S$13*$W$5,IF(D11=$Q$6,$T$6*$S$12+$S$13*$W$6,IF(D11=$Q$7,$T$7*$S$12+$S$13*$W$7,IF(D11=$Q$8,$T$8*$S$12+$S$13*$W$8))))</f>
        <v>1312158.05</v>
      </c>
      <c r="F11" s="52">
        <f t="shared" si="9"/>
        <v>1363883.5205431872</v>
      </c>
      <c r="G11" s="52">
        <f t="shared" si="2"/>
        <v>1418006.8139340116</v>
      </c>
      <c r="H11" s="52">
        <f t="shared" si="3"/>
        <v>1474639.0853605913</v>
      </c>
      <c r="I11" s="52">
        <f t="shared" si="4"/>
        <v>1533896.6428003137</v>
      </c>
      <c r="J11" s="52">
        <f t="shared" si="5"/>
        <v>1595901.1858862184</v>
      </c>
      <c r="K11" s="52">
        <f t="shared" si="10"/>
        <v>1660780.0558464355</v>
      </c>
      <c r="L11" s="52">
        <f t="shared" si="6"/>
        <v>1728666.4970299948</v>
      </c>
      <c r="M11" s="52">
        <f t="shared" si="7"/>
        <v>1799699.9305561145</v>
      </c>
      <c r="N11" s="52">
        <f t="shared" si="8"/>
        <v>1874026.2406489714</v>
      </c>
      <c r="O11" s="52">
        <f t="shared" si="1"/>
        <v>1951798.0742460075</v>
      </c>
      <c r="Q11" s="24" t="s">
        <v>59</v>
      </c>
      <c r="R11" s="24" t="s">
        <v>60</v>
      </c>
      <c r="S11" s="24" t="s">
        <v>54</v>
      </c>
    </row>
    <row r="12" spans="2:23" ht="14.5" thickBot="1" x14ac:dyDescent="0.4">
      <c r="B12" s="51" t="s">
        <v>0</v>
      </c>
      <c r="C12" s="43">
        <v>1218</v>
      </c>
      <c r="D12" s="19" t="str">
        <f t="shared" si="0"/>
        <v>Media-Segura</v>
      </c>
      <c r="E12" s="52">
        <f>IF(D12=$Q$5,$T$5*$S$12+$S$13*$W$5,IF(D12=$Q$6,$T$6*$S$12+$S$13*$W$6,IF(D12=$Q$7,$T$7*$S$12+$S$13*$W$7,IF(D12=$Q$8,$T$8*$S$12+$S$13*$W$8))))</f>
        <v>1312158.05</v>
      </c>
      <c r="F12" s="52">
        <f t="shared" si="9"/>
        <v>1363883.5205431872</v>
      </c>
      <c r="G12" s="52">
        <f t="shared" si="2"/>
        <v>1418006.8139340116</v>
      </c>
      <c r="H12" s="52">
        <f t="shared" si="3"/>
        <v>1474639.0853605913</v>
      </c>
      <c r="I12" s="52">
        <f t="shared" si="4"/>
        <v>1533896.6428003137</v>
      </c>
      <c r="J12" s="52">
        <f t="shared" si="5"/>
        <v>1595901.1858862184</v>
      </c>
      <c r="K12" s="52">
        <f t="shared" si="10"/>
        <v>1660780.0558464355</v>
      </c>
      <c r="L12" s="52">
        <f t="shared" si="6"/>
        <v>1728666.4970299948</v>
      </c>
      <c r="M12" s="52">
        <f t="shared" si="7"/>
        <v>1799699.9305561145</v>
      </c>
      <c r="N12" s="52">
        <f t="shared" si="8"/>
        <v>1874026.2406489714</v>
      </c>
      <c r="O12" s="52">
        <f t="shared" si="1"/>
        <v>1951798.0742460075</v>
      </c>
      <c r="Q12" s="24" t="s">
        <v>48</v>
      </c>
      <c r="R12" s="25">
        <v>1</v>
      </c>
      <c r="S12" s="42">
        <f>82497.5*1.19</f>
        <v>98172.024999999994</v>
      </c>
      <c r="T12" s="39"/>
      <c r="U12" s="39" t="s">
        <v>56</v>
      </c>
    </row>
    <row r="13" spans="2:23" ht="14.5" thickBot="1" x14ac:dyDescent="0.35">
      <c r="B13" s="51" t="s">
        <v>13</v>
      </c>
      <c r="C13" s="43">
        <v>9477</v>
      </c>
      <c r="D13" s="19" t="str">
        <f t="shared" si="0"/>
        <v>Peligrosa</v>
      </c>
      <c r="E13" s="52">
        <f>IF(D13=$Q$5,$T$5*$S$12+$S$13*$W$5,IF(D13=$Q$6,$T$6*$S$12+$S$13*$W$6,IF(D13=$Q$7,$T$7*$S$12+$S$13*$W$7,IF(D13=$Q$8,$T$8*$S$12+$S$13*$W$8))))</f>
        <v>5413851.0999999996</v>
      </c>
      <c r="F13" s="52">
        <f t="shared" si="9"/>
        <v>5646615.7174443416</v>
      </c>
      <c r="G13" s="52">
        <f t="shared" si="2"/>
        <v>5890170.5377030522</v>
      </c>
      <c r="H13" s="52">
        <f t="shared" si="3"/>
        <v>6145015.7591226604</v>
      </c>
      <c r="I13" s="52">
        <f t="shared" si="4"/>
        <v>6411674.7676014109</v>
      </c>
      <c r="J13" s="52">
        <f t="shared" si="5"/>
        <v>6690695.2114879824</v>
      </c>
      <c r="K13" s="52">
        <f t="shared" si="10"/>
        <v>6982650.126308959</v>
      </c>
      <c r="L13" s="52">
        <f t="shared" si="6"/>
        <v>7288139.1116349762</v>
      </c>
      <c r="M13" s="52">
        <f t="shared" si="7"/>
        <v>7607789.5625025146</v>
      </c>
      <c r="N13" s="52">
        <f t="shared" si="8"/>
        <v>7942257.9579203706</v>
      </c>
      <c r="O13" s="52">
        <f t="shared" si="1"/>
        <v>8292231.209107033</v>
      </c>
      <c r="Q13" s="24" t="s">
        <v>53</v>
      </c>
      <c r="R13" s="30">
        <v>8</v>
      </c>
      <c r="S13" s="41">
        <f>S14*S15</f>
        <v>557907</v>
      </c>
      <c r="T13" s="39">
        <v>557907</v>
      </c>
      <c r="U13" s="39" t="s">
        <v>55</v>
      </c>
    </row>
    <row r="14" spans="2:23" ht="15.5" x14ac:dyDescent="0.35">
      <c r="B14" s="51" t="s">
        <v>16</v>
      </c>
      <c r="C14" s="43">
        <v>747</v>
      </c>
      <c r="D14" s="19" t="str">
        <f t="shared" si="0"/>
        <v>Segura</v>
      </c>
      <c r="E14" s="52">
        <f>IF(D14=$Q$5,$T$5*$S$12+$S$13*$W$5,IF(D14=$Q$6,$T$6*$S$12+$S$13*$W$6,IF(D14=$Q$7,$T$7*$S$12+$S$13*$W$7,IF(D14=$Q$8,$T$8*$S$12+$S$13*$W$8))))</f>
        <v>754251.05</v>
      </c>
      <c r="F14" s="52">
        <f t="shared" si="9"/>
        <v>780113.7852715936</v>
      </c>
      <c r="G14" s="52">
        <f t="shared" si="2"/>
        <v>807175.43196700583</v>
      </c>
      <c r="H14" s="52">
        <f t="shared" si="3"/>
        <v>835491.56768029556</v>
      </c>
      <c r="I14" s="52">
        <f t="shared" si="4"/>
        <v>865120.34640015685</v>
      </c>
      <c r="J14" s="52">
        <f t="shared" si="5"/>
        <v>896122.61794310925</v>
      </c>
      <c r="K14" s="52">
        <f t="shared" si="10"/>
        <v>928562.05292321765</v>
      </c>
      <c r="L14" s="52">
        <f t="shared" si="6"/>
        <v>962505.27351499745</v>
      </c>
      <c r="M14" s="52">
        <f t="shared" si="7"/>
        <v>998021.99027805729</v>
      </c>
      <c r="N14" s="52">
        <f t="shared" si="8"/>
        <v>1035185.1453244856</v>
      </c>
      <c r="O14" s="52">
        <f t="shared" si="1"/>
        <v>1074071.0621230036</v>
      </c>
      <c r="R14" s="18" t="s">
        <v>79</v>
      </c>
      <c r="S14" s="89">
        <f>'Valor UF'!C12</f>
        <v>39643.589999999997</v>
      </c>
    </row>
    <row r="15" spans="2:23" x14ac:dyDescent="0.35">
      <c r="B15" s="51" t="s">
        <v>2</v>
      </c>
      <c r="C15" s="43">
        <v>3116</v>
      </c>
      <c r="D15" s="19" t="str">
        <f t="shared" si="0"/>
        <v>Peligrosa</v>
      </c>
      <c r="E15" s="52">
        <f>IF(D15=$Q$5,$T$5*$S$12+$S$13*$W$5,IF(D15=$Q$6,$T$6*$S$12+$S$13*$W$6,IF(D15=$Q$7,$T$7*$S$12+$S$13*$W$7,IF(D15=$Q$8,$T$8*$S$12+$S$13*$W$8))))</f>
        <v>5413851.0999999996</v>
      </c>
      <c r="F15" s="52">
        <f t="shared" si="9"/>
        <v>5646615.7174443416</v>
      </c>
      <c r="G15" s="52">
        <f t="shared" si="2"/>
        <v>5890170.5377030522</v>
      </c>
      <c r="H15" s="52">
        <f t="shared" si="3"/>
        <v>6145015.7591226604</v>
      </c>
      <c r="I15" s="52">
        <f t="shared" si="4"/>
        <v>6411674.7676014109</v>
      </c>
      <c r="J15" s="52">
        <f t="shared" si="5"/>
        <v>6690695.2114879824</v>
      </c>
      <c r="K15" s="52">
        <f t="shared" si="10"/>
        <v>6982650.126308959</v>
      </c>
      <c r="L15" s="52">
        <f t="shared" si="6"/>
        <v>7288139.1116349762</v>
      </c>
      <c r="M15" s="52">
        <f t="shared" si="7"/>
        <v>7607789.5625025146</v>
      </c>
      <c r="N15" s="52">
        <f t="shared" si="8"/>
        <v>7942257.9579203706</v>
      </c>
      <c r="O15" s="52">
        <f t="shared" si="1"/>
        <v>8292231.209107033</v>
      </c>
      <c r="R15" s="18" t="s">
        <v>92</v>
      </c>
      <c r="S15" s="100">
        <f>T13/S14</f>
        <v>14.073069568119337</v>
      </c>
    </row>
    <row r="16" spans="2:23" x14ac:dyDescent="0.35">
      <c r="B16" s="51" t="s">
        <v>10</v>
      </c>
      <c r="C16" s="43">
        <v>2814</v>
      </c>
      <c r="D16" s="19" t="str">
        <f t="shared" si="0"/>
        <v>Media-Peligrosa</v>
      </c>
      <c r="E16" s="52">
        <f>IF(D16=$Q$5,$T$5*$S$12+$S$13*$W$5,IF(D16=$Q$6,$T$6*$S$12+$S$13*$W$6,IF(D16=$Q$7,$T$7*$S$12+$S$13*$W$7,IF(D16=$Q$8,$T$8*$S$12+$S$13*$W$8))))</f>
        <v>3740130.1</v>
      </c>
      <c r="F16" s="52">
        <f t="shared" si="9"/>
        <v>3895306.5116295614</v>
      </c>
      <c r="G16" s="52">
        <f t="shared" si="2"/>
        <v>4057676.3918020348</v>
      </c>
      <c r="H16" s="52">
        <f t="shared" si="3"/>
        <v>4227573.2060817732</v>
      </c>
      <c r="I16" s="52">
        <f t="shared" si="4"/>
        <v>4405345.8784009404</v>
      </c>
      <c r="J16" s="52">
        <f t="shared" si="5"/>
        <v>4591359.5076586548</v>
      </c>
      <c r="K16" s="52">
        <f t="shared" si="10"/>
        <v>4785996.1175393062</v>
      </c>
      <c r="L16" s="52">
        <f t="shared" si="6"/>
        <v>4989655.441089984</v>
      </c>
      <c r="M16" s="52">
        <f t="shared" si="7"/>
        <v>5202755.7416683435</v>
      </c>
      <c r="N16" s="52">
        <f t="shared" si="8"/>
        <v>5425734.6719469139</v>
      </c>
      <c r="O16" s="52">
        <f t="shared" si="1"/>
        <v>5659050.1727380222</v>
      </c>
      <c r="Q16" s="18" t="s">
        <v>93</v>
      </c>
      <c r="R16" s="18" t="s">
        <v>95</v>
      </c>
      <c r="S16" s="99">
        <f>S15*'Valor UF'!C9</f>
        <v>583769.73527159356</v>
      </c>
    </row>
    <row r="17" spans="2:19" x14ac:dyDescent="0.35">
      <c r="B17" s="57" t="s">
        <v>8</v>
      </c>
      <c r="C17" s="58">
        <v>2256</v>
      </c>
      <c r="D17" s="59" t="str">
        <f t="shared" si="0"/>
        <v>Media-Peligrosa</v>
      </c>
      <c r="E17" s="60">
        <f>IF(D17=$Q$5,$T$5*$S$12+$S$13*$W$5,IF(D17=$Q$6,$T$6*$S$12+$S$13*$W$6,IF(D17=$Q$7,$T$7*$S$12+$S$13*$W$7,IF(D17=$Q$8,$T$8*$S$12+$S$13*$W$8))))</f>
        <v>3740130.1</v>
      </c>
      <c r="F17" s="52">
        <f t="shared" si="9"/>
        <v>3895306.5116295614</v>
      </c>
      <c r="G17" s="60">
        <f t="shared" si="2"/>
        <v>4057676.3918020348</v>
      </c>
      <c r="H17" s="60">
        <f t="shared" si="3"/>
        <v>4227573.2060817732</v>
      </c>
      <c r="I17" s="60">
        <f t="shared" si="4"/>
        <v>4405345.8784009404</v>
      </c>
      <c r="J17" s="60">
        <f t="shared" si="5"/>
        <v>4591359.5076586548</v>
      </c>
      <c r="K17" s="60">
        <f t="shared" si="10"/>
        <v>4785996.1175393062</v>
      </c>
      <c r="L17" s="60">
        <f t="shared" si="6"/>
        <v>4989655.441089984</v>
      </c>
      <c r="M17" s="60">
        <f t="shared" si="7"/>
        <v>5202755.7416683435</v>
      </c>
      <c r="N17" s="60">
        <f t="shared" si="8"/>
        <v>5425734.6719469139</v>
      </c>
      <c r="O17" s="60">
        <f t="shared" si="1"/>
        <v>5659050.1727380222</v>
      </c>
      <c r="R17" s="18" t="s">
        <v>96</v>
      </c>
      <c r="S17" s="99">
        <f>S15*'Valor UF'!D9</f>
        <v>610831.38196700579</v>
      </c>
    </row>
    <row r="18" spans="2:19" x14ac:dyDescent="0.35">
      <c r="R18" s="18" t="s">
        <v>97</v>
      </c>
      <c r="S18" s="99">
        <f>S15*'Valor UF'!E9</f>
        <v>639147.51768029563</v>
      </c>
    </row>
    <row r="19" spans="2:19" x14ac:dyDescent="0.35">
      <c r="R19" s="18" t="s">
        <v>98</v>
      </c>
      <c r="S19" s="99">
        <f>S15*'Valor UF'!F9</f>
        <v>668776.2964001568</v>
      </c>
    </row>
    <row r="20" spans="2:19" x14ac:dyDescent="0.35">
      <c r="R20" s="18" t="s">
        <v>99</v>
      </c>
      <c r="S20" s="99">
        <f>S15*'Valor UF'!G9</f>
        <v>699778.5679431092</v>
      </c>
    </row>
    <row r="21" spans="2:19" x14ac:dyDescent="0.35">
      <c r="R21" s="18" t="s">
        <v>100</v>
      </c>
      <c r="S21" s="99">
        <f>S15*'Valor UF'!H9</f>
        <v>732218.00292321772</v>
      </c>
    </row>
    <row r="22" spans="2:19" x14ac:dyDescent="0.35">
      <c r="R22" s="18" t="s">
        <v>101</v>
      </c>
      <c r="S22" s="99">
        <f>S15*'Valor UF'!I9</f>
        <v>766161.2235149974</v>
      </c>
    </row>
    <row r="23" spans="2:19" x14ac:dyDescent="0.35">
      <c r="R23" s="18" t="s">
        <v>102</v>
      </c>
      <c r="S23" s="99">
        <f>S15*'Valor UF'!J9</f>
        <v>801677.94027805724</v>
      </c>
    </row>
    <row r="24" spans="2:19" x14ac:dyDescent="0.35">
      <c r="R24" s="18" t="s">
        <v>103</v>
      </c>
      <c r="S24" s="99">
        <f>S15*'Valor UF'!K9</f>
        <v>838841.09532448568</v>
      </c>
    </row>
    <row r="25" spans="2:19" x14ac:dyDescent="0.35">
      <c r="R25" s="18" t="s">
        <v>104</v>
      </c>
      <c r="S25" s="99">
        <f>S15*'Valor UF'!L9</f>
        <v>877727.01212300372</v>
      </c>
    </row>
  </sheetData>
  <mergeCells count="3">
    <mergeCell ref="U3:W3"/>
    <mergeCell ref="R4:S4"/>
    <mergeCell ref="Q10:S10"/>
  </mergeCells>
  <phoneticPr fontId="7" type="noConversion"/>
  <conditionalFormatting sqref="D2:D17">
    <cfRule type="cellIs" dxfId="3" priority="1" operator="equal">
      <formula>"Peligrosa"</formula>
    </cfRule>
    <cfRule type="cellIs" dxfId="2" priority="2" operator="equal">
      <formula>"Media-Peligrosa"</formula>
    </cfRule>
    <cfRule type="cellIs" dxfId="1" priority="3" operator="equal">
      <formula>"Media-Segura"</formula>
    </cfRule>
    <cfRule type="cellIs" dxfId="0" priority="4" operator="equal">
      <formula>"Segura"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Seguridad</vt:lpstr>
      <vt:lpstr>Costo Seguridad M5</vt:lpstr>
      <vt:lpstr>Costo Suelo</vt:lpstr>
      <vt:lpstr>Costo Proyecto</vt:lpstr>
      <vt:lpstr>Costo total 1</vt:lpstr>
      <vt:lpstr>Valor UF</vt:lpstr>
      <vt:lpstr>Costo total V2</vt:lpstr>
      <vt:lpstr>Costo Seguridad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Gonzalez Ortiz</dc:creator>
  <cp:lastModifiedBy>Ricardo Gonzalez Ortiz</cp:lastModifiedBy>
  <dcterms:created xsi:type="dcterms:W3CDTF">2025-09-04T00:22:24Z</dcterms:created>
  <dcterms:modified xsi:type="dcterms:W3CDTF">2025-11-27T01:46:51Z</dcterms:modified>
</cp:coreProperties>
</file>