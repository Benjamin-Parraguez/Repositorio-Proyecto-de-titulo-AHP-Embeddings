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kig\OneDrive\Escritorio\Proyecto de Título\Mesa 5\Metodos Multicriterios\AHP\Excel\"/>
    </mc:Choice>
  </mc:AlternateContent>
  <xr:revisionPtr revIDLastSave="0" documentId="13_ncr:1_{E053C973-1882-4FF1-A038-9D3DC60E6D15}" xr6:coauthVersionLast="47" xr6:coauthVersionMax="47" xr10:uidLastSave="{00000000-0000-0000-0000-000000000000}"/>
  <bookViews>
    <workbookView xWindow="-110" yWindow="-110" windowWidth="19420" windowHeight="10300" activeTab="2" xr2:uid="{9665085C-535A-4940-A345-C859AA46C31E}"/>
  </bookViews>
  <sheets>
    <sheet name="Inicio" sheetId="3" r:id="rId1"/>
    <sheet name="C. Téc." sheetId="4" r:id="rId2"/>
    <sheet name="C. Eco." sheetId="5" r:id="rId3"/>
    <sheet name="C. So." sheetId="6" r:id="rId4"/>
    <sheet name="C. Am." sheetId="7" r:id="rId5"/>
    <sheet name="C. Com.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C4" i="5"/>
  <c r="C5" i="5"/>
  <c r="F5" i="5"/>
  <c r="I5" i="5"/>
  <c r="J5" i="5"/>
  <c r="K5" i="5"/>
  <c r="M5" i="5"/>
  <c r="O5" i="5"/>
  <c r="P5" i="5"/>
  <c r="Q5" i="5"/>
  <c r="C6" i="5"/>
  <c r="D6" i="5"/>
  <c r="E6" i="5"/>
  <c r="F6" i="5"/>
  <c r="I6" i="5"/>
  <c r="J6" i="5"/>
  <c r="K6" i="5"/>
  <c r="L6" i="5"/>
  <c r="M6" i="5"/>
  <c r="O6" i="5"/>
  <c r="P6" i="5"/>
  <c r="Q6" i="5"/>
  <c r="C7" i="5"/>
  <c r="F7" i="5"/>
  <c r="I7" i="5"/>
  <c r="J7" i="5"/>
  <c r="K7" i="5"/>
  <c r="M7" i="5"/>
  <c r="O7" i="5"/>
  <c r="P7" i="5"/>
  <c r="Q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C9" i="5"/>
  <c r="D9" i="5"/>
  <c r="E9" i="5"/>
  <c r="F9" i="5"/>
  <c r="H9" i="5"/>
  <c r="I9" i="5"/>
  <c r="J9" i="5"/>
  <c r="K9" i="5"/>
  <c r="L9" i="5"/>
  <c r="M9" i="5"/>
  <c r="O9" i="5"/>
  <c r="P9" i="5"/>
  <c r="Q9" i="5"/>
  <c r="I10" i="5"/>
  <c r="J10" i="5"/>
  <c r="M10" i="5"/>
  <c r="O10" i="5"/>
  <c r="P10" i="5"/>
  <c r="Q10" i="5"/>
  <c r="J11" i="5"/>
  <c r="M11" i="5"/>
  <c r="O11" i="5"/>
  <c r="P11" i="5"/>
  <c r="C12" i="5"/>
  <c r="I12" i="5"/>
  <c r="J12" i="5"/>
  <c r="K12" i="5"/>
  <c r="M12" i="5"/>
  <c r="O12" i="5"/>
  <c r="P12" i="5"/>
  <c r="Q12" i="5"/>
  <c r="C13" i="5"/>
  <c r="D13" i="5"/>
  <c r="F13" i="5"/>
  <c r="I13" i="5"/>
  <c r="J13" i="5"/>
  <c r="K13" i="5"/>
  <c r="L13" i="5"/>
  <c r="M13" i="5"/>
  <c r="O13" i="5"/>
  <c r="P13" i="5"/>
  <c r="Q13" i="5"/>
  <c r="M14" i="5"/>
  <c r="C15" i="5"/>
  <c r="D15" i="5"/>
  <c r="E15" i="5"/>
  <c r="F15" i="5"/>
  <c r="H15" i="5"/>
  <c r="I15" i="5"/>
  <c r="J15" i="5"/>
  <c r="K15" i="5"/>
  <c r="L15" i="5"/>
  <c r="M15" i="5"/>
  <c r="N15" i="5"/>
  <c r="O15" i="5"/>
  <c r="P15" i="5"/>
  <c r="Q15" i="5"/>
  <c r="M16" i="5"/>
  <c r="O16" i="5"/>
  <c r="M17" i="5"/>
  <c r="O17" i="5"/>
  <c r="P17" i="5"/>
  <c r="J18" i="5"/>
  <c r="M18" i="5"/>
  <c r="O18" i="5"/>
  <c r="P18" i="5"/>
  <c r="Q18" i="5"/>
  <c r="I4" i="5"/>
  <c r="J4" i="5"/>
  <c r="M4" i="5"/>
  <c r="O4" i="5"/>
  <c r="P4" i="5"/>
  <c r="Q4" i="5"/>
  <c r="E24" i="5"/>
  <c r="G24" i="5"/>
  <c r="C4" i="6"/>
  <c r="D5" i="6"/>
  <c r="G5" i="6"/>
  <c r="H5" i="6"/>
  <c r="N5" i="6"/>
  <c r="D6" i="6"/>
  <c r="E6" i="6"/>
  <c r="G6" i="6"/>
  <c r="H6" i="6"/>
  <c r="N6" i="6"/>
  <c r="D7" i="6"/>
  <c r="E7" i="6"/>
  <c r="F7" i="6"/>
  <c r="G7" i="6"/>
  <c r="H7" i="6"/>
  <c r="J7" i="6"/>
  <c r="N7" i="6"/>
  <c r="G8" i="6"/>
  <c r="N8" i="6"/>
  <c r="G9" i="6"/>
  <c r="H9" i="6"/>
  <c r="N9" i="6"/>
  <c r="C10" i="6"/>
  <c r="D10" i="6"/>
  <c r="E10" i="6"/>
  <c r="F10" i="6"/>
  <c r="G10" i="6"/>
  <c r="H10" i="6"/>
  <c r="I10" i="6"/>
  <c r="J10" i="6"/>
  <c r="N10" i="6"/>
  <c r="O10" i="6"/>
  <c r="Q10" i="6"/>
  <c r="D11" i="6"/>
  <c r="E11" i="6"/>
  <c r="G11" i="6"/>
  <c r="H11" i="6"/>
  <c r="J11" i="6"/>
  <c r="N11" i="6"/>
  <c r="C12" i="6"/>
  <c r="D12" i="6"/>
  <c r="E12" i="6"/>
  <c r="F12" i="6"/>
  <c r="G12" i="6"/>
  <c r="H12" i="6"/>
  <c r="I12" i="6"/>
  <c r="J12" i="6"/>
  <c r="K12" i="6"/>
  <c r="M12" i="6"/>
  <c r="N12" i="6"/>
  <c r="O12" i="6"/>
  <c r="P12" i="6"/>
  <c r="Q12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C14" i="6"/>
  <c r="D14" i="6"/>
  <c r="E14" i="6"/>
  <c r="F14" i="6"/>
  <c r="G14" i="6"/>
  <c r="H14" i="6"/>
  <c r="I14" i="6"/>
  <c r="J14" i="6"/>
  <c r="M14" i="6"/>
  <c r="N14" i="6"/>
  <c r="O14" i="6"/>
  <c r="P14" i="6"/>
  <c r="Q14" i="6"/>
  <c r="N15" i="6"/>
  <c r="C16" i="6"/>
  <c r="D16" i="6"/>
  <c r="E16" i="6"/>
  <c r="F16" i="6"/>
  <c r="G16" i="6"/>
  <c r="H16" i="6"/>
  <c r="J16" i="6"/>
  <c r="N16" i="6"/>
  <c r="O16" i="6"/>
  <c r="Q16" i="6"/>
  <c r="C17" i="6"/>
  <c r="D17" i="6"/>
  <c r="E17" i="6"/>
  <c r="F17" i="6"/>
  <c r="G17" i="6"/>
  <c r="H17" i="6"/>
  <c r="I17" i="6"/>
  <c r="J17" i="6"/>
  <c r="N17" i="6"/>
  <c r="O17" i="6"/>
  <c r="P17" i="6"/>
  <c r="Q17" i="6"/>
  <c r="C18" i="6"/>
  <c r="D18" i="6"/>
  <c r="E18" i="6"/>
  <c r="F18" i="6"/>
  <c r="G18" i="6"/>
  <c r="H18" i="6"/>
  <c r="J18" i="6"/>
  <c r="N18" i="6"/>
  <c r="Q18" i="6"/>
  <c r="D4" i="6"/>
  <c r="E4" i="6"/>
  <c r="F4" i="6"/>
  <c r="G4" i="6"/>
  <c r="H4" i="6"/>
  <c r="J4" i="6"/>
  <c r="N4" i="6"/>
  <c r="R31" i="6"/>
  <c r="S31" i="6"/>
  <c r="T31" i="6"/>
  <c r="U31" i="6"/>
  <c r="V31" i="6"/>
  <c r="W31" i="6"/>
  <c r="Q31" i="6"/>
  <c r="Q30" i="6"/>
  <c r="R30" i="6"/>
  <c r="S30" i="6"/>
  <c r="T30" i="6"/>
  <c r="U30" i="6"/>
  <c r="V30" i="6"/>
  <c r="W30" i="6"/>
  <c r="P30" i="6"/>
  <c r="P29" i="6"/>
  <c r="Q29" i="6"/>
  <c r="R29" i="6"/>
  <c r="S29" i="6"/>
  <c r="T29" i="6"/>
  <c r="U29" i="6"/>
  <c r="V29" i="6"/>
  <c r="W29" i="6"/>
  <c r="O29" i="6"/>
  <c r="O28" i="6"/>
  <c r="P28" i="6"/>
  <c r="Q28" i="6"/>
  <c r="R28" i="6"/>
  <c r="S28" i="6"/>
  <c r="T28" i="6"/>
  <c r="U28" i="6"/>
  <c r="V28" i="6"/>
  <c r="W28" i="6"/>
  <c r="N28" i="6"/>
  <c r="D39" i="5"/>
  <c r="E25" i="5" s="1"/>
  <c r="F39" i="5" l="1"/>
  <c r="E37" i="5"/>
  <c r="E31" i="5"/>
  <c r="E30" i="5"/>
  <c r="E36" i="5"/>
  <c r="E35" i="5"/>
  <c r="E29" i="5"/>
  <c r="E34" i="5"/>
  <c r="E28" i="5"/>
  <c r="E26" i="5"/>
  <c r="E33" i="5"/>
  <c r="E27" i="5"/>
  <c r="E38" i="5"/>
  <c r="T39" i="5" s="1"/>
  <c r="E32" i="5"/>
  <c r="L34" i="5"/>
  <c r="G39" i="5"/>
  <c r="M29" i="6"/>
  <c r="I26" i="6"/>
  <c r="I25" i="6"/>
  <c r="J24" i="6"/>
  <c r="K24" i="6"/>
  <c r="M33" i="5" l="1"/>
  <c r="K32" i="5"/>
  <c r="Q36" i="5"/>
  <c r="N35" i="5"/>
  <c r="L31" i="5"/>
  <c r="O34" i="5"/>
  <c r="R39" i="5"/>
  <c r="R25" i="5" s="1"/>
  <c r="O36" i="5"/>
  <c r="I36" i="5"/>
  <c r="N36" i="5"/>
  <c r="H36" i="5"/>
  <c r="M36" i="5"/>
  <c r="G36" i="5"/>
  <c r="L36" i="5"/>
  <c r="K36" i="5"/>
  <c r="J36" i="5"/>
  <c r="F36" i="5"/>
  <c r="T25" i="5"/>
  <c r="J39" i="5"/>
  <c r="H28" i="5"/>
  <c r="G28" i="5"/>
  <c r="L39" i="5"/>
  <c r="I30" i="5"/>
  <c r="H30" i="5"/>
  <c r="K30" i="5"/>
  <c r="K31" i="5"/>
  <c r="J31" i="5"/>
  <c r="H31" i="5"/>
  <c r="G31" i="5"/>
  <c r="M39" i="5"/>
  <c r="I33" i="5"/>
  <c r="H33" i="5"/>
  <c r="N33" i="5"/>
  <c r="O39" i="5"/>
  <c r="L33" i="5"/>
  <c r="K33" i="5"/>
  <c r="K34" i="5"/>
  <c r="J34" i="5"/>
  <c r="P39" i="5"/>
  <c r="N34" i="5"/>
  <c r="H34" i="5"/>
  <c r="M34" i="5"/>
  <c r="G34" i="5"/>
  <c r="P36" i="5"/>
  <c r="G26" i="5"/>
  <c r="H39" i="5"/>
  <c r="L26" i="5" s="1"/>
  <c r="G29" i="5"/>
  <c r="K39" i="5"/>
  <c r="J29" i="5"/>
  <c r="I29" i="5"/>
  <c r="G30" i="5"/>
  <c r="S39" i="5"/>
  <c r="Q37" i="5"/>
  <c r="K37" i="5"/>
  <c r="J37" i="5"/>
  <c r="P37" i="5"/>
  <c r="O37" i="5"/>
  <c r="I37" i="5"/>
  <c r="N37" i="5"/>
  <c r="H37" i="5"/>
  <c r="M37" i="5"/>
  <c r="G37" i="5"/>
  <c r="R37" i="5"/>
  <c r="L37" i="5"/>
  <c r="H27" i="5"/>
  <c r="I39" i="5"/>
  <c r="I25" i="5" s="1"/>
  <c r="G27" i="5"/>
  <c r="M32" i="5"/>
  <c r="G32" i="5"/>
  <c r="L32" i="5"/>
  <c r="J32" i="5"/>
  <c r="N39" i="5"/>
  <c r="N25" i="5" s="1"/>
  <c r="I32" i="5"/>
  <c r="G33" i="5"/>
  <c r="M35" i="5"/>
  <c r="I28" i="5"/>
  <c r="H29" i="5"/>
  <c r="J30" i="5"/>
  <c r="I31" i="5"/>
  <c r="H32" i="5"/>
  <c r="J33" i="5"/>
  <c r="I34" i="5"/>
  <c r="H35" i="5"/>
  <c r="F37" i="5"/>
  <c r="H38" i="5"/>
  <c r="N38" i="5"/>
  <c r="I35" i="5"/>
  <c r="O35" i="5"/>
  <c r="I38" i="5"/>
  <c r="O38" i="5"/>
  <c r="J35" i="5"/>
  <c r="P35" i="5"/>
  <c r="J38" i="5"/>
  <c r="P38" i="5"/>
  <c r="K35" i="5"/>
  <c r="F35" i="5"/>
  <c r="R38" i="5"/>
  <c r="Q39" i="5"/>
  <c r="K38" i="5"/>
  <c r="Q38" i="5"/>
  <c r="L35" i="5"/>
  <c r="F38" i="5"/>
  <c r="L38" i="5"/>
  <c r="G35" i="5"/>
  <c r="G38" i="5"/>
  <c r="M38" i="5"/>
  <c r="S38" i="5"/>
  <c r="J27" i="6"/>
  <c r="L25" i="6"/>
  <c r="J30" i="6"/>
  <c r="V38" i="6"/>
  <c r="W24" i="6"/>
  <c r="U38" i="6"/>
  <c r="T37" i="6"/>
  <c r="T38" i="6"/>
  <c r="S36" i="6"/>
  <c r="S37" i="6"/>
  <c r="S38" i="6"/>
  <c r="R35" i="6"/>
  <c r="R36" i="6"/>
  <c r="R37" i="6"/>
  <c r="R38" i="6"/>
  <c r="Q34" i="6"/>
  <c r="Q35" i="6"/>
  <c r="Q36" i="6"/>
  <c r="Q37" i="6"/>
  <c r="Q38" i="6"/>
  <c r="P33" i="6"/>
  <c r="P34" i="6"/>
  <c r="P35" i="6"/>
  <c r="P36" i="6"/>
  <c r="P37" i="6"/>
  <c r="P38" i="6"/>
  <c r="O32" i="6"/>
  <c r="O33" i="6"/>
  <c r="O34" i="6"/>
  <c r="O35" i="6"/>
  <c r="O36" i="6"/>
  <c r="O37" i="6"/>
  <c r="O38" i="6"/>
  <c r="N31" i="6"/>
  <c r="N32" i="6"/>
  <c r="N33" i="6"/>
  <c r="N34" i="6"/>
  <c r="N35" i="6"/>
  <c r="N36" i="6"/>
  <c r="N37" i="6"/>
  <c r="N38" i="6"/>
  <c r="M30" i="6"/>
  <c r="M31" i="6"/>
  <c r="M32" i="6"/>
  <c r="M33" i="6"/>
  <c r="M34" i="6"/>
  <c r="M35" i="6"/>
  <c r="M36" i="6"/>
  <c r="M37" i="6"/>
  <c r="M38" i="6"/>
  <c r="L29" i="6"/>
  <c r="L30" i="6"/>
  <c r="L31" i="6"/>
  <c r="L32" i="6"/>
  <c r="L33" i="6"/>
  <c r="L34" i="6"/>
  <c r="L35" i="6"/>
  <c r="L36" i="6"/>
  <c r="L37" i="6"/>
  <c r="L38" i="6"/>
  <c r="K28" i="6"/>
  <c r="K29" i="6"/>
  <c r="K30" i="6"/>
  <c r="K31" i="6"/>
  <c r="K32" i="6"/>
  <c r="K33" i="6"/>
  <c r="K34" i="6"/>
  <c r="K35" i="6"/>
  <c r="K36" i="6"/>
  <c r="K37" i="6"/>
  <c r="K38" i="6"/>
  <c r="J28" i="6"/>
  <c r="J29" i="6"/>
  <c r="J31" i="6"/>
  <c r="J32" i="6"/>
  <c r="J33" i="6"/>
  <c r="J34" i="6"/>
  <c r="J35" i="6"/>
  <c r="J36" i="6"/>
  <c r="J37" i="6"/>
  <c r="J38" i="6"/>
  <c r="U37" i="6"/>
  <c r="T36" i="6"/>
  <c r="S35" i="6"/>
  <c r="R34" i="6"/>
  <c r="Q33" i="6"/>
  <c r="P32" i="6"/>
  <c r="O31" i="6"/>
  <c r="N30" i="6"/>
  <c r="L28" i="6"/>
  <c r="K27" i="6"/>
  <c r="J26" i="6"/>
  <c r="I27" i="6"/>
  <c r="I28" i="6"/>
  <c r="I29" i="6"/>
  <c r="I30" i="6"/>
  <c r="I31" i="6"/>
  <c r="I32" i="6"/>
  <c r="I33" i="6"/>
  <c r="I34" i="6"/>
  <c r="I35" i="6"/>
  <c r="I36" i="6"/>
  <c r="I37" i="6"/>
  <c r="I38" i="6"/>
  <c r="W36" i="6"/>
  <c r="V35" i="6"/>
  <c r="W35" i="6"/>
  <c r="U34" i="6"/>
  <c r="V34" i="6"/>
  <c r="W34" i="6"/>
  <c r="T33" i="6"/>
  <c r="U33" i="6"/>
  <c r="V33" i="6"/>
  <c r="W33" i="6"/>
  <c r="W37" i="6"/>
  <c r="V36" i="6"/>
  <c r="U35" i="6"/>
  <c r="T34" i="6"/>
  <c r="S33" i="6"/>
  <c r="S32" i="6"/>
  <c r="T32" i="6"/>
  <c r="U32" i="6"/>
  <c r="V32" i="6"/>
  <c r="W32" i="6"/>
  <c r="R32" i="6"/>
  <c r="O26" i="6"/>
  <c r="L26" i="6"/>
  <c r="L24" i="6"/>
  <c r="N27" i="6"/>
  <c r="O27" i="6"/>
  <c r="P27" i="6"/>
  <c r="Q27" i="6"/>
  <c r="R27" i="6"/>
  <c r="S27" i="6"/>
  <c r="T27" i="6"/>
  <c r="U27" i="6"/>
  <c r="V27" i="6"/>
  <c r="W27" i="6"/>
  <c r="M26" i="6"/>
  <c r="N26" i="6"/>
  <c r="P26" i="6"/>
  <c r="Q26" i="6"/>
  <c r="R26" i="6"/>
  <c r="S26" i="6"/>
  <c r="T26" i="6"/>
  <c r="U26" i="6"/>
  <c r="V26" i="6"/>
  <c r="W26" i="6"/>
  <c r="M27" i="6"/>
  <c r="M25" i="6"/>
  <c r="N25" i="6"/>
  <c r="O25" i="6"/>
  <c r="P25" i="6"/>
  <c r="Q25" i="6"/>
  <c r="R25" i="6"/>
  <c r="S25" i="6"/>
  <c r="T25" i="6"/>
  <c r="U25" i="6"/>
  <c r="V25" i="6"/>
  <c r="W25" i="6"/>
  <c r="K25" i="6"/>
  <c r="M24" i="6"/>
  <c r="N24" i="6"/>
  <c r="O24" i="6"/>
  <c r="P24" i="6"/>
  <c r="Q24" i="6"/>
  <c r="R24" i="6"/>
  <c r="S24" i="6"/>
  <c r="T24" i="6"/>
  <c r="U24" i="6"/>
  <c r="V24" i="6"/>
  <c r="I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24" i="6"/>
  <c r="D39" i="6"/>
  <c r="E39" i="6"/>
  <c r="F39" i="6"/>
  <c r="C39" i="6"/>
  <c r="AM4" i="8"/>
  <c r="AM4" i="7"/>
  <c r="AM4" i="6"/>
  <c r="AM4" i="5"/>
  <c r="AP3" i="4"/>
  <c r="AP4" i="4"/>
  <c r="AM4" i="4"/>
  <c r="AK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4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K17" i="4"/>
  <c r="K18" i="4"/>
  <c r="O18" i="4"/>
  <c r="M18" i="4"/>
  <c r="M17" i="4"/>
  <c r="M16" i="4"/>
  <c r="M15" i="4"/>
  <c r="L18" i="4"/>
  <c r="L17" i="4"/>
  <c r="L16" i="4"/>
  <c r="L15" i="4"/>
  <c r="L14" i="4"/>
  <c r="K16" i="4"/>
  <c r="K15" i="4"/>
  <c r="K14" i="4"/>
  <c r="K13" i="4"/>
  <c r="J18" i="4"/>
  <c r="J17" i="4"/>
  <c r="J16" i="4"/>
  <c r="J15" i="4"/>
  <c r="J14" i="4"/>
  <c r="J13" i="4"/>
  <c r="J12" i="4"/>
  <c r="I18" i="4"/>
  <c r="I17" i="4"/>
  <c r="I16" i="4"/>
  <c r="I15" i="4"/>
  <c r="I14" i="4"/>
  <c r="I13" i="4"/>
  <c r="I12" i="4"/>
  <c r="I11" i="4"/>
  <c r="H18" i="4"/>
  <c r="H17" i="4"/>
  <c r="H16" i="4"/>
  <c r="H15" i="4"/>
  <c r="H14" i="4"/>
  <c r="H13" i="4"/>
  <c r="H12" i="4"/>
  <c r="H11" i="4"/>
  <c r="H10" i="4"/>
  <c r="G18" i="4"/>
  <c r="G17" i="4"/>
  <c r="G16" i="4"/>
  <c r="G15" i="4"/>
  <c r="G14" i="4"/>
  <c r="G13" i="4"/>
  <c r="G12" i="4"/>
  <c r="G11" i="4"/>
  <c r="G10" i="4"/>
  <c r="G9" i="4"/>
  <c r="F18" i="4"/>
  <c r="F17" i="4"/>
  <c r="F16" i="4"/>
  <c r="F15" i="4"/>
  <c r="F14" i="4"/>
  <c r="F13" i="4"/>
  <c r="F12" i="4"/>
  <c r="F11" i="4"/>
  <c r="F10" i="4"/>
  <c r="F9" i="4"/>
  <c r="F8" i="4"/>
  <c r="N18" i="4"/>
  <c r="N17" i="4"/>
  <c r="N16" i="4"/>
  <c r="O17" i="4"/>
  <c r="P18" i="4"/>
  <c r="E18" i="4"/>
  <c r="E17" i="4"/>
  <c r="E16" i="4"/>
  <c r="E15" i="4"/>
  <c r="E14" i="4"/>
  <c r="E13" i="4"/>
  <c r="E12" i="4"/>
  <c r="E11" i="4"/>
  <c r="E10" i="4"/>
  <c r="E9" i="4"/>
  <c r="E8" i="4"/>
  <c r="E7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28" i="4"/>
  <c r="E26" i="4" s="1"/>
  <c r="C27" i="4"/>
  <c r="C26" i="4"/>
  <c r="C25" i="4"/>
  <c r="N28" i="5" l="1"/>
  <c r="K28" i="5"/>
  <c r="O28" i="5"/>
  <c r="Q28" i="5"/>
  <c r="T28" i="5"/>
  <c r="P28" i="5"/>
  <c r="R28" i="5"/>
  <c r="M28" i="5"/>
  <c r="L28" i="5"/>
  <c r="S28" i="5"/>
  <c r="K25" i="5"/>
  <c r="R29" i="5"/>
  <c r="Q29" i="5"/>
  <c r="M29" i="5"/>
  <c r="S29" i="5"/>
  <c r="N29" i="5"/>
  <c r="T29" i="5"/>
  <c r="O29" i="5"/>
  <c r="L29" i="5"/>
  <c r="P29" i="5"/>
  <c r="Q31" i="5"/>
  <c r="R31" i="5"/>
  <c r="S31" i="5"/>
  <c r="P31" i="5"/>
  <c r="T31" i="5"/>
  <c r="O31" i="5"/>
  <c r="N31" i="5"/>
  <c r="L25" i="5"/>
  <c r="O30" i="5"/>
  <c r="M30" i="5"/>
  <c r="P30" i="5"/>
  <c r="T30" i="5"/>
  <c r="Q30" i="5"/>
  <c r="R30" i="5"/>
  <c r="S30" i="5"/>
  <c r="N30" i="5"/>
  <c r="J25" i="5"/>
  <c r="J24" i="5"/>
  <c r="F28" i="5"/>
  <c r="F26" i="5"/>
  <c r="F32" i="5"/>
  <c r="F25" i="5"/>
  <c r="F33" i="5"/>
  <c r="F30" i="5"/>
  <c r="F27" i="5"/>
  <c r="T35" i="5"/>
  <c r="S35" i="5"/>
  <c r="R35" i="5"/>
  <c r="Q25" i="5"/>
  <c r="R34" i="5"/>
  <c r="Q34" i="5"/>
  <c r="T34" i="5"/>
  <c r="S34" i="5"/>
  <c r="P25" i="5"/>
  <c r="F29" i="5"/>
  <c r="T32" i="5"/>
  <c r="S32" i="5"/>
  <c r="Q32" i="5"/>
  <c r="P32" i="5"/>
  <c r="O32" i="5"/>
  <c r="R32" i="5"/>
  <c r="T37" i="5"/>
  <c r="S25" i="5"/>
  <c r="F34" i="5"/>
  <c r="T26" i="5"/>
  <c r="N26" i="5"/>
  <c r="M26" i="5"/>
  <c r="S26" i="5"/>
  <c r="Q26" i="5"/>
  <c r="K26" i="5"/>
  <c r="P26" i="5"/>
  <c r="J26" i="5"/>
  <c r="I26" i="5"/>
  <c r="R26" i="5"/>
  <c r="O26" i="5"/>
  <c r="M25" i="5"/>
  <c r="H25" i="5"/>
  <c r="P27" i="5"/>
  <c r="J27" i="5"/>
  <c r="O27" i="5"/>
  <c r="S27" i="5"/>
  <c r="M27" i="5"/>
  <c r="R27" i="5"/>
  <c r="L27" i="5"/>
  <c r="K27" i="5"/>
  <c r="Q27" i="5"/>
  <c r="T27" i="5"/>
  <c r="N27" i="5"/>
  <c r="P33" i="5"/>
  <c r="S33" i="5"/>
  <c r="R33" i="5"/>
  <c r="Q33" i="5"/>
  <c r="T33" i="5"/>
  <c r="F31" i="5"/>
  <c r="O25" i="5"/>
  <c r="T36" i="5"/>
  <c r="S36" i="5"/>
  <c r="G39" i="6"/>
  <c r="E25" i="4"/>
  <c r="H25" i="4"/>
  <c r="E27" i="4"/>
  <c r="H26" i="4" s="1"/>
  <c r="D28" i="3"/>
  <c r="E28" i="3"/>
  <c r="G28" i="3"/>
  <c r="F28" i="3"/>
  <c r="F27" i="3"/>
  <c r="E27" i="3"/>
  <c r="E26" i="3"/>
  <c r="D27" i="3"/>
  <c r="D26" i="3"/>
  <c r="D25" i="3"/>
  <c r="D19" i="6"/>
  <c r="S6" i="6" s="1"/>
  <c r="E19" i="6"/>
  <c r="T5" i="6" s="1"/>
  <c r="F19" i="6"/>
  <c r="U8" i="6" s="1"/>
  <c r="G19" i="6"/>
  <c r="V7" i="6" s="1"/>
  <c r="H19" i="6"/>
  <c r="W7" i="6" s="1"/>
  <c r="I19" i="6"/>
  <c r="X6" i="6" s="1"/>
  <c r="J19" i="6"/>
  <c r="Y6" i="6" s="1"/>
  <c r="K19" i="6"/>
  <c r="Z5" i="6" s="1"/>
  <c r="L19" i="6"/>
  <c r="AA5" i="6" s="1"/>
  <c r="M19" i="6"/>
  <c r="AB6" i="6" s="1"/>
  <c r="N19" i="6"/>
  <c r="AC5" i="6" s="1"/>
  <c r="O19" i="6"/>
  <c r="AD11" i="6" s="1"/>
  <c r="P19" i="6"/>
  <c r="AE4" i="6" s="1"/>
  <c r="Q19" i="6"/>
  <c r="AF18" i="6" s="1"/>
  <c r="C19" i="6"/>
  <c r="D19" i="8"/>
  <c r="S4" i="8" s="1"/>
  <c r="E19" i="8"/>
  <c r="T4" i="8" s="1"/>
  <c r="F19" i="8"/>
  <c r="U6" i="8" s="1"/>
  <c r="G19" i="8"/>
  <c r="V6" i="8" s="1"/>
  <c r="H19" i="8"/>
  <c r="W6" i="8" s="1"/>
  <c r="I19" i="8"/>
  <c r="X5" i="8" s="1"/>
  <c r="J19" i="8"/>
  <c r="Y4" i="8" s="1"/>
  <c r="K19" i="8"/>
  <c r="Z4" i="8" s="1"/>
  <c r="L19" i="8"/>
  <c r="AA6" i="8" s="1"/>
  <c r="M19" i="8"/>
  <c r="AB6" i="8" s="1"/>
  <c r="N19" i="8"/>
  <c r="AC6" i="8" s="1"/>
  <c r="O19" i="8"/>
  <c r="AD5" i="8" s="1"/>
  <c r="P19" i="8"/>
  <c r="AE4" i="8" s="1"/>
  <c r="Q19" i="8"/>
  <c r="AF4" i="8" s="1"/>
  <c r="C19" i="8"/>
  <c r="R5" i="8" s="1"/>
  <c r="AC18" i="6" l="1"/>
  <c r="P24" i="5"/>
  <c r="O24" i="5"/>
  <c r="I24" i="5"/>
  <c r="S24" i="5"/>
  <c r="P19" i="5" s="1"/>
  <c r="AE4" i="5" s="1"/>
  <c r="M24" i="5"/>
  <c r="J19" i="5" s="1"/>
  <c r="Y4" i="5" s="1"/>
  <c r="R24" i="5"/>
  <c r="O19" i="5" s="1"/>
  <c r="AD5" i="5" s="1"/>
  <c r="L24" i="5"/>
  <c r="K24" i="5"/>
  <c r="H24" i="5"/>
  <c r="Q24" i="5"/>
  <c r="N24" i="5"/>
  <c r="T24" i="5"/>
  <c r="Q19" i="5" s="1"/>
  <c r="AF4" i="5" s="1"/>
  <c r="R5" i="6"/>
  <c r="R4" i="6"/>
  <c r="AA6" i="6"/>
  <c r="AE16" i="6"/>
  <c r="AE12" i="6"/>
  <c r="U18" i="6"/>
  <c r="AA12" i="6"/>
  <c r="AE7" i="6"/>
  <c r="AD12" i="6"/>
  <c r="AD16" i="6"/>
  <c r="AC16" i="6"/>
  <c r="AD7" i="6"/>
  <c r="AC15" i="6"/>
  <c r="U7" i="6"/>
  <c r="AF17" i="6"/>
  <c r="AE17" i="6"/>
  <c r="AF15" i="6"/>
  <c r="W12" i="6"/>
  <c r="AF6" i="6"/>
  <c r="AE18" i="6"/>
  <c r="AD17" i="6"/>
  <c r="AE15" i="6"/>
  <c r="AA13" i="6"/>
  <c r="AC11" i="6"/>
  <c r="AE6" i="6"/>
  <c r="AF13" i="6"/>
  <c r="AD4" i="6"/>
  <c r="AE13" i="6"/>
  <c r="AC4" i="6"/>
  <c r="AD13" i="6"/>
  <c r="AD18" i="6"/>
  <c r="AF16" i="6"/>
  <c r="AD15" i="6"/>
  <c r="AF12" i="6"/>
  <c r="AF7" i="6"/>
  <c r="AD6" i="6"/>
  <c r="V15" i="6"/>
  <c r="AB9" i="6"/>
  <c r="AB8" i="6"/>
  <c r="AB5" i="6"/>
  <c r="U10" i="6"/>
  <c r="AF14" i="6"/>
  <c r="AF10" i="6"/>
  <c r="AF8" i="6"/>
  <c r="AF5" i="6"/>
  <c r="AA4" i="6"/>
  <c r="AB18" i="6"/>
  <c r="AE14" i="6"/>
  <c r="AE10" i="6"/>
  <c r="AE8" i="6"/>
  <c r="AF4" i="6"/>
  <c r="U4" i="6"/>
  <c r="W18" i="6"/>
  <c r="AC17" i="6"/>
  <c r="AB16" i="6"/>
  <c r="AB15" i="6"/>
  <c r="AD14" i="6"/>
  <c r="AC13" i="6"/>
  <c r="AC12" i="6"/>
  <c r="AE11" i="6"/>
  <c r="AD10" i="6"/>
  <c r="AD9" i="6"/>
  <c r="AD8" i="6"/>
  <c r="AC7" i="6"/>
  <c r="AC6" i="6"/>
  <c r="AD5" i="6"/>
  <c r="AB14" i="6"/>
  <c r="AB10" i="6"/>
  <c r="U15" i="6"/>
  <c r="AB11" i="6"/>
  <c r="AA9" i="6"/>
  <c r="U6" i="6"/>
  <c r="AB4" i="6"/>
  <c r="V12" i="6"/>
  <c r="AF9" i="6"/>
  <c r="AF11" i="6"/>
  <c r="AE9" i="6"/>
  <c r="AE5" i="6"/>
  <c r="V18" i="6"/>
  <c r="AB17" i="6"/>
  <c r="AA16" i="6"/>
  <c r="W15" i="6"/>
  <c r="AC14" i="6"/>
  <c r="AB13" i="6"/>
  <c r="AB12" i="6"/>
  <c r="AC10" i="6"/>
  <c r="AC9" i="6"/>
  <c r="AC8" i="6"/>
  <c r="AB7" i="6"/>
  <c r="T13" i="6"/>
  <c r="Z7" i="6"/>
  <c r="T10" i="6"/>
  <c r="Z9" i="6"/>
  <c r="T18" i="6"/>
  <c r="W9" i="6"/>
  <c r="Z6" i="6"/>
  <c r="T4" i="6"/>
  <c r="AA18" i="6"/>
  <c r="U16" i="6"/>
  <c r="T15" i="6"/>
  <c r="Z13" i="6"/>
  <c r="U12" i="6"/>
  <c r="AA10" i="6"/>
  <c r="V9" i="6"/>
  <c r="W6" i="6"/>
  <c r="Z15" i="6"/>
  <c r="T9" i="6"/>
  <c r="Z12" i="6"/>
  <c r="T6" i="6"/>
  <c r="Z4" i="6"/>
  <c r="T7" i="6"/>
  <c r="Z16" i="6"/>
  <c r="Z18" i="6"/>
  <c r="T16" i="6"/>
  <c r="AA15" i="6"/>
  <c r="U13" i="6"/>
  <c r="T12" i="6"/>
  <c r="Z10" i="6"/>
  <c r="U9" i="6"/>
  <c r="AA7" i="6"/>
  <c r="V6" i="6"/>
  <c r="Y17" i="6"/>
  <c r="S14" i="6"/>
  <c r="Y11" i="6"/>
  <c r="S8" i="6"/>
  <c r="X17" i="6"/>
  <c r="X14" i="6"/>
  <c r="X11" i="6"/>
  <c r="S4" i="6"/>
  <c r="Y16" i="6"/>
  <c r="W14" i="6"/>
  <c r="S13" i="6"/>
  <c r="Y10" i="6"/>
  <c r="W8" i="6"/>
  <c r="V17" i="6"/>
  <c r="U5" i="6"/>
  <c r="S17" i="6"/>
  <c r="Y14" i="6"/>
  <c r="S11" i="6"/>
  <c r="Y8" i="6"/>
  <c r="Y5" i="6"/>
  <c r="S5" i="6"/>
  <c r="X8" i="6"/>
  <c r="X5" i="6"/>
  <c r="Y4" i="6"/>
  <c r="W17" i="6"/>
  <c r="S16" i="6"/>
  <c r="Y13" i="6"/>
  <c r="W11" i="6"/>
  <c r="S10" i="6"/>
  <c r="Y7" i="6"/>
  <c r="S7" i="6"/>
  <c r="W5" i="6"/>
  <c r="X4" i="6"/>
  <c r="X16" i="6"/>
  <c r="V14" i="6"/>
  <c r="X13" i="6"/>
  <c r="V11" i="6"/>
  <c r="X10" i="6"/>
  <c r="V8" i="6"/>
  <c r="X7" i="6"/>
  <c r="V5" i="6"/>
  <c r="W4" i="6"/>
  <c r="Y18" i="6"/>
  <c r="S18" i="6"/>
  <c r="AA17" i="6"/>
  <c r="U17" i="6"/>
  <c r="W16" i="6"/>
  <c r="Y15" i="6"/>
  <c r="S15" i="6"/>
  <c r="AA14" i="6"/>
  <c r="U14" i="6"/>
  <c r="W13" i="6"/>
  <c r="Y12" i="6"/>
  <c r="S12" i="6"/>
  <c r="AA11" i="6"/>
  <c r="U11" i="6"/>
  <c r="W10" i="6"/>
  <c r="Y9" i="6"/>
  <c r="S9" i="6"/>
  <c r="AA8" i="6"/>
  <c r="V4" i="6"/>
  <c r="X18" i="6"/>
  <c r="Z17" i="6"/>
  <c r="T17" i="6"/>
  <c r="V16" i="6"/>
  <c r="X15" i="6"/>
  <c r="Z14" i="6"/>
  <c r="T14" i="6"/>
  <c r="V13" i="6"/>
  <c r="X12" i="6"/>
  <c r="Z11" i="6"/>
  <c r="T11" i="6"/>
  <c r="V10" i="6"/>
  <c r="X9" i="6"/>
  <c r="Z8" i="6"/>
  <c r="T8" i="6"/>
  <c r="R16" i="6"/>
  <c r="R18" i="6"/>
  <c r="R14" i="6"/>
  <c r="R12" i="6"/>
  <c r="R10" i="6"/>
  <c r="R8" i="6"/>
  <c r="R6" i="6"/>
  <c r="R17" i="6"/>
  <c r="R15" i="6"/>
  <c r="R13" i="6"/>
  <c r="R11" i="6"/>
  <c r="R9" i="6"/>
  <c r="R7" i="6"/>
  <c r="H27" i="4"/>
  <c r="AD4" i="8"/>
  <c r="X4" i="8"/>
  <c r="AF18" i="8"/>
  <c r="Z18" i="8"/>
  <c r="T18" i="8"/>
  <c r="AC17" i="8"/>
  <c r="W17" i="8"/>
  <c r="AF16" i="8"/>
  <c r="Z16" i="8"/>
  <c r="T16" i="8"/>
  <c r="AC15" i="8"/>
  <c r="W15" i="8"/>
  <c r="AF14" i="8"/>
  <c r="Z14" i="8"/>
  <c r="T14" i="8"/>
  <c r="AC13" i="8"/>
  <c r="W13" i="8"/>
  <c r="AF12" i="8"/>
  <c r="Z12" i="8"/>
  <c r="T12" i="8"/>
  <c r="AC11" i="8"/>
  <c r="W11" i="8"/>
  <c r="AF10" i="8"/>
  <c r="Z10" i="8"/>
  <c r="T10" i="8"/>
  <c r="AC9" i="8"/>
  <c r="W9" i="8"/>
  <c r="AF8" i="8"/>
  <c r="Z8" i="8"/>
  <c r="T8" i="8"/>
  <c r="AC7" i="8"/>
  <c r="W7" i="8"/>
  <c r="AF6" i="8"/>
  <c r="Z6" i="8"/>
  <c r="T6" i="8"/>
  <c r="AC5" i="8"/>
  <c r="W5" i="8"/>
  <c r="AC4" i="8"/>
  <c r="W4" i="8"/>
  <c r="AE18" i="8"/>
  <c r="Y18" i="8"/>
  <c r="S18" i="8"/>
  <c r="AB17" i="8"/>
  <c r="V17" i="8"/>
  <c r="AE16" i="8"/>
  <c r="Y16" i="8"/>
  <c r="S16" i="8"/>
  <c r="AB15" i="8"/>
  <c r="V15" i="8"/>
  <c r="AE14" i="8"/>
  <c r="Y14" i="8"/>
  <c r="S14" i="8"/>
  <c r="AB13" i="8"/>
  <c r="V13" i="8"/>
  <c r="AE12" i="8"/>
  <c r="Y12" i="8"/>
  <c r="S12" i="8"/>
  <c r="AB11" i="8"/>
  <c r="V11" i="8"/>
  <c r="AE10" i="8"/>
  <c r="Y10" i="8"/>
  <c r="S10" i="8"/>
  <c r="AB9" i="8"/>
  <c r="V9" i="8"/>
  <c r="AE8" i="8"/>
  <c r="Y8" i="8"/>
  <c r="S8" i="8"/>
  <c r="AB7" i="8"/>
  <c r="V7" i="8"/>
  <c r="AE6" i="8"/>
  <c r="Y6" i="8"/>
  <c r="S6" i="8"/>
  <c r="AB5" i="8"/>
  <c r="V5" i="8"/>
  <c r="AB4" i="8"/>
  <c r="V4" i="8"/>
  <c r="AD18" i="8"/>
  <c r="X18" i="8"/>
  <c r="R18" i="8"/>
  <c r="AA17" i="8"/>
  <c r="U17" i="8"/>
  <c r="AD16" i="8"/>
  <c r="X16" i="8"/>
  <c r="R16" i="8"/>
  <c r="AA15" i="8"/>
  <c r="U15" i="8"/>
  <c r="AD14" i="8"/>
  <c r="X14" i="8"/>
  <c r="R14" i="8"/>
  <c r="AA13" i="8"/>
  <c r="U13" i="8"/>
  <c r="AD12" i="8"/>
  <c r="X12" i="8"/>
  <c r="R12" i="8"/>
  <c r="AA11" i="8"/>
  <c r="U11" i="8"/>
  <c r="AD10" i="8"/>
  <c r="X10" i="8"/>
  <c r="R10" i="8"/>
  <c r="AA9" i="8"/>
  <c r="U9" i="8"/>
  <c r="AD8" i="8"/>
  <c r="X8" i="8"/>
  <c r="R8" i="8"/>
  <c r="AA7" i="8"/>
  <c r="U7" i="8"/>
  <c r="AD6" i="8"/>
  <c r="X6" i="8"/>
  <c r="R6" i="8"/>
  <c r="AA5" i="8"/>
  <c r="U5" i="8"/>
  <c r="R4" i="8"/>
  <c r="AA4" i="8"/>
  <c r="U4" i="8"/>
  <c r="AC18" i="8"/>
  <c r="W18" i="8"/>
  <c r="AF17" i="8"/>
  <c r="Z17" i="8"/>
  <c r="T17" i="8"/>
  <c r="AC16" i="8"/>
  <c r="W16" i="8"/>
  <c r="AF15" i="8"/>
  <c r="Z15" i="8"/>
  <c r="T15" i="8"/>
  <c r="AC14" i="8"/>
  <c r="W14" i="8"/>
  <c r="AF13" i="8"/>
  <c r="Z13" i="8"/>
  <c r="T13" i="8"/>
  <c r="AC12" i="8"/>
  <c r="W12" i="8"/>
  <c r="AF11" i="8"/>
  <c r="Z11" i="8"/>
  <c r="T11" i="8"/>
  <c r="AC10" i="8"/>
  <c r="W10" i="8"/>
  <c r="AF9" i="8"/>
  <c r="Z9" i="8"/>
  <c r="T9" i="8"/>
  <c r="AC8" i="8"/>
  <c r="W8" i="8"/>
  <c r="AF7" i="8"/>
  <c r="Z7" i="8"/>
  <c r="T7" i="8"/>
  <c r="AF5" i="8"/>
  <c r="Z5" i="8"/>
  <c r="T5" i="8"/>
  <c r="AB18" i="8"/>
  <c r="V18" i="8"/>
  <c r="AE17" i="8"/>
  <c r="Y17" i="8"/>
  <c r="S17" i="8"/>
  <c r="AB16" i="8"/>
  <c r="V16" i="8"/>
  <c r="AE15" i="8"/>
  <c r="Y15" i="8"/>
  <c r="S15" i="8"/>
  <c r="AB14" i="8"/>
  <c r="V14" i="8"/>
  <c r="AE13" i="8"/>
  <c r="Y13" i="8"/>
  <c r="S13" i="8"/>
  <c r="AB12" i="8"/>
  <c r="V12" i="8"/>
  <c r="AE11" i="8"/>
  <c r="Y11" i="8"/>
  <c r="S11" i="8"/>
  <c r="AB10" i="8"/>
  <c r="V10" i="8"/>
  <c r="AE9" i="8"/>
  <c r="Y9" i="8"/>
  <c r="S9" i="8"/>
  <c r="AB8" i="8"/>
  <c r="V8" i="8"/>
  <c r="AE7" i="8"/>
  <c r="Y7" i="8"/>
  <c r="S7" i="8"/>
  <c r="AE5" i="8"/>
  <c r="Y5" i="8"/>
  <c r="S5" i="8"/>
  <c r="AA18" i="8"/>
  <c r="U18" i="8"/>
  <c r="AD17" i="8"/>
  <c r="X17" i="8"/>
  <c r="R17" i="8"/>
  <c r="AA16" i="8"/>
  <c r="U16" i="8"/>
  <c r="AD15" i="8"/>
  <c r="X15" i="8"/>
  <c r="R15" i="8"/>
  <c r="AA14" i="8"/>
  <c r="U14" i="8"/>
  <c r="AD13" i="8"/>
  <c r="X13" i="8"/>
  <c r="R13" i="8"/>
  <c r="AA12" i="8"/>
  <c r="U12" i="8"/>
  <c r="AD11" i="8"/>
  <c r="X11" i="8"/>
  <c r="R11" i="8"/>
  <c r="AA10" i="8"/>
  <c r="U10" i="8"/>
  <c r="AD9" i="8"/>
  <c r="X9" i="8"/>
  <c r="R9" i="8"/>
  <c r="AA8" i="8"/>
  <c r="U8" i="8"/>
  <c r="AD7" i="8"/>
  <c r="X7" i="8"/>
  <c r="R7" i="8"/>
  <c r="D19" i="5"/>
  <c r="S4" i="5" s="1"/>
  <c r="E19" i="5"/>
  <c r="T4" i="5" s="1"/>
  <c r="F19" i="5"/>
  <c r="U6" i="5" s="1"/>
  <c r="G19" i="5"/>
  <c r="V6" i="5" s="1"/>
  <c r="H19" i="5"/>
  <c r="W6" i="5" s="1"/>
  <c r="I19" i="5"/>
  <c r="X5" i="5" s="1"/>
  <c r="K19" i="5"/>
  <c r="Z4" i="5" s="1"/>
  <c r="L19" i="5"/>
  <c r="AA6" i="5" s="1"/>
  <c r="M19" i="5"/>
  <c r="AB6" i="5" s="1"/>
  <c r="N19" i="5"/>
  <c r="AC6" i="5" s="1"/>
  <c r="C19" i="5"/>
  <c r="R5" i="5" s="1"/>
  <c r="E29" i="3"/>
  <c r="J25" i="3" s="1"/>
  <c r="F29" i="3"/>
  <c r="K26" i="3" s="1"/>
  <c r="G29" i="3"/>
  <c r="L26" i="3" s="1"/>
  <c r="H29" i="3"/>
  <c r="M26" i="3" s="1"/>
  <c r="Z14" i="5" l="1"/>
  <c r="T16" i="5"/>
  <c r="W11" i="5"/>
  <c r="AC7" i="5"/>
  <c r="AF8" i="5"/>
  <c r="Z12" i="5"/>
  <c r="T6" i="5"/>
  <c r="T12" i="5"/>
  <c r="Z18" i="5"/>
  <c r="W17" i="5"/>
  <c r="V9" i="5"/>
  <c r="V15" i="5"/>
  <c r="AB5" i="5"/>
  <c r="T18" i="5"/>
  <c r="AF14" i="5"/>
  <c r="AB11" i="5"/>
  <c r="Z8" i="5"/>
  <c r="W5" i="5"/>
  <c r="AC13" i="5"/>
  <c r="AF10" i="5"/>
  <c r="W7" i="5"/>
  <c r="AB17" i="5"/>
  <c r="AF16" i="5"/>
  <c r="W13" i="5"/>
  <c r="T10" i="5"/>
  <c r="Z6" i="5"/>
  <c r="M24" i="3"/>
  <c r="M27" i="3"/>
  <c r="M28" i="3"/>
  <c r="M25" i="3"/>
  <c r="L27" i="3"/>
  <c r="L25" i="3"/>
  <c r="L28" i="3"/>
  <c r="L24" i="3"/>
  <c r="K28" i="3"/>
  <c r="K24" i="3"/>
  <c r="K25" i="3"/>
  <c r="K27" i="3"/>
  <c r="J26" i="3"/>
  <c r="J28" i="3"/>
  <c r="J27" i="3"/>
  <c r="J24" i="3"/>
  <c r="S14" i="5"/>
  <c r="AE6" i="5"/>
  <c r="AC9" i="5"/>
  <c r="W4" i="5"/>
  <c r="S18" i="5"/>
  <c r="AE16" i="5"/>
  <c r="AB15" i="5"/>
  <c r="Y14" i="5"/>
  <c r="V13" i="5"/>
  <c r="S12" i="5"/>
  <c r="AE10" i="5"/>
  <c r="AB9" i="5"/>
  <c r="Y8" i="5"/>
  <c r="V7" i="5"/>
  <c r="S6" i="5"/>
  <c r="AE18" i="5"/>
  <c r="AE12" i="5"/>
  <c r="Y10" i="5"/>
  <c r="S8" i="5"/>
  <c r="AD4" i="5"/>
  <c r="X4" i="5"/>
  <c r="AC15" i="5"/>
  <c r="AF18" i="5"/>
  <c r="AC17" i="5"/>
  <c r="Z16" i="5"/>
  <c r="W15" i="5"/>
  <c r="T14" i="5"/>
  <c r="AF12" i="5"/>
  <c r="AC11" i="5"/>
  <c r="Z10" i="5"/>
  <c r="W9" i="5"/>
  <c r="T8" i="5"/>
  <c r="AF6" i="5"/>
  <c r="AC5" i="5"/>
  <c r="Y16" i="5"/>
  <c r="AC4" i="5"/>
  <c r="Y18" i="5"/>
  <c r="V17" i="5"/>
  <c r="S16" i="5"/>
  <c r="AE14" i="5"/>
  <c r="AB13" i="5"/>
  <c r="Y12" i="5"/>
  <c r="V11" i="5"/>
  <c r="S10" i="5"/>
  <c r="AE8" i="5"/>
  <c r="AB7" i="5"/>
  <c r="Y6" i="5"/>
  <c r="V5" i="5"/>
  <c r="AB4" i="5"/>
  <c r="V4" i="5"/>
  <c r="AD18" i="5"/>
  <c r="X18" i="5"/>
  <c r="R18" i="5"/>
  <c r="AA17" i="5"/>
  <c r="U17" i="5"/>
  <c r="AD16" i="5"/>
  <c r="X16" i="5"/>
  <c r="R16" i="5"/>
  <c r="AA15" i="5"/>
  <c r="U15" i="5"/>
  <c r="AD14" i="5"/>
  <c r="X14" i="5"/>
  <c r="R14" i="5"/>
  <c r="AA13" i="5"/>
  <c r="U13" i="5"/>
  <c r="AD12" i="5"/>
  <c r="X12" i="5"/>
  <c r="R12" i="5"/>
  <c r="AA11" i="5"/>
  <c r="U11" i="5"/>
  <c r="AD10" i="5"/>
  <c r="X10" i="5"/>
  <c r="R10" i="5"/>
  <c r="AA9" i="5"/>
  <c r="U9" i="5"/>
  <c r="AD8" i="5"/>
  <c r="X8" i="5"/>
  <c r="R8" i="5"/>
  <c r="AA7" i="5"/>
  <c r="U7" i="5"/>
  <c r="AD6" i="5"/>
  <c r="X6" i="5"/>
  <c r="R6" i="5"/>
  <c r="AA5" i="5"/>
  <c r="U5" i="5"/>
  <c r="R4" i="5"/>
  <c r="AA4" i="5"/>
  <c r="U4" i="5"/>
  <c r="AC18" i="5"/>
  <c r="W18" i="5"/>
  <c r="AF17" i="5"/>
  <c r="Z17" i="5"/>
  <c r="T17" i="5"/>
  <c r="AC16" i="5"/>
  <c r="W16" i="5"/>
  <c r="AF15" i="5"/>
  <c r="Z15" i="5"/>
  <c r="T15" i="5"/>
  <c r="AC14" i="5"/>
  <c r="W14" i="5"/>
  <c r="AF13" i="5"/>
  <c r="Z13" i="5"/>
  <c r="T13" i="5"/>
  <c r="AC12" i="5"/>
  <c r="W12" i="5"/>
  <c r="AF11" i="5"/>
  <c r="Z11" i="5"/>
  <c r="T11" i="5"/>
  <c r="AC10" i="5"/>
  <c r="W10" i="5"/>
  <c r="AF9" i="5"/>
  <c r="Z9" i="5"/>
  <c r="T9" i="5"/>
  <c r="AC8" i="5"/>
  <c r="W8" i="5"/>
  <c r="AF7" i="5"/>
  <c r="Z7" i="5"/>
  <c r="T7" i="5"/>
  <c r="AF5" i="5"/>
  <c r="Z5" i="5"/>
  <c r="T5" i="5"/>
  <c r="AB18" i="5"/>
  <c r="V18" i="5"/>
  <c r="AE17" i="5"/>
  <c r="Y17" i="5"/>
  <c r="S17" i="5"/>
  <c r="AB16" i="5"/>
  <c r="V16" i="5"/>
  <c r="AE15" i="5"/>
  <c r="Y15" i="5"/>
  <c r="S15" i="5"/>
  <c r="AB14" i="5"/>
  <c r="V14" i="5"/>
  <c r="AE13" i="5"/>
  <c r="Y13" i="5"/>
  <c r="S13" i="5"/>
  <c r="AB12" i="5"/>
  <c r="V12" i="5"/>
  <c r="AE11" i="5"/>
  <c r="Y11" i="5"/>
  <c r="S11" i="5"/>
  <c r="AB10" i="5"/>
  <c r="V10" i="5"/>
  <c r="AE9" i="5"/>
  <c r="Y9" i="5"/>
  <c r="S9" i="5"/>
  <c r="AB8" i="5"/>
  <c r="V8" i="5"/>
  <c r="AE7" i="5"/>
  <c r="Y7" i="5"/>
  <c r="S7" i="5"/>
  <c r="AE5" i="5"/>
  <c r="Y5" i="5"/>
  <c r="S5" i="5"/>
  <c r="AA18" i="5"/>
  <c r="U18" i="5"/>
  <c r="AD17" i="5"/>
  <c r="X17" i="5"/>
  <c r="R17" i="5"/>
  <c r="AA16" i="5"/>
  <c r="U16" i="5"/>
  <c r="AD15" i="5"/>
  <c r="X15" i="5"/>
  <c r="R15" i="5"/>
  <c r="AA14" i="5"/>
  <c r="U14" i="5"/>
  <c r="AD13" i="5"/>
  <c r="X13" i="5"/>
  <c r="R13" i="5"/>
  <c r="AA12" i="5"/>
  <c r="U12" i="5"/>
  <c r="AD11" i="5"/>
  <c r="X11" i="5"/>
  <c r="R11" i="5"/>
  <c r="AA10" i="5"/>
  <c r="U10" i="5"/>
  <c r="AD9" i="5"/>
  <c r="X9" i="5"/>
  <c r="R9" i="5"/>
  <c r="AA8" i="5"/>
  <c r="U8" i="5"/>
  <c r="AD7" i="5"/>
  <c r="X7" i="5"/>
  <c r="R7" i="5"/>
  <c r="V6" i="7"/>
  <c r="R8" i="7"/>
  <c r="AE9" i="7"/>
  <c r="AB10" i="7"/>
  <c r="Y11" i="7"/>
  <c r="V12" i="7"/>
  <c r="S13" i="7"/>
  <c r="AE13" i="7"/>
  <c r="AB14" i="7"/>
  <c r="Y15" i="7"/>
  <c r="V16" i="7"/>
  <c r="S17" i="7"/>
  <c r="AE17" i="7"/>
  <c r="AB18" i="7"/>
  <c r="AF4" i="7"/>
  <c r="D19" i="7"/>
  <c r="S6" i="7" s="1"/>
  <c r="E19" i="7"/>
  <c r="T6" i="7" s="1"/>
  <c r="F19" i="7"/>
  <c r="U6" i="7" s="1"/>
  <c r="G19" i="7"/>
  <c r="V5" i="7" s="1"/>
  <c r="H19" i="7"/>
  <c r="W4" i="7" s="1"/>
  <c r="I19" i="7"/>
  <c r="X4" i="7" s="1"/>
  <c r="J19" i="7"/>
  <c r="Y6" i="7" s="1"/>
  <c r="K19" i="7"/>
  <c r="Z6" i="7" s="1"/>
  <c r="L19" i="7"/>
  <c r="AA6" i="7" s="1"/>
  <c r="M19" i="7"/>
  <c r="AB5" i="7" s="1"/>
  <c r="N19" i="7"/>
  <c r="AC4" i="7" s="1"/>
  <c r="O19" i="7"/>
  <c r="AD4" i="7" s="1"/>
  <c r="P19" i="7"/>
  <c r="AE6" i="7" s="1"/>
  <c r="Q19" i="7"/>
  <c r="AF6" i="7" s="1"/>
  <c r="C19" i="7"/>
  <c r="R5" i="7" s="1"/>
  <c r="AB4" i="7" l="1"/>
  <c r="AA18" i="7"/>
  <c r="AD17" i="7"/>
  <c r="R17" i="7"/>
  <c r="U16" i="7"/>
  <c r="X15" i="7"/>
  <c r="AA14" i="7"/>
  <c r="AD13" i="7"/>
  <c r="R13" i="7"/>
  <c r="U12" i="7"/>
  <c r="X11" i="7"/>
  <c r="AA10" i="7"/>
  <c r="AD9" i="7"/>
  <c r="AB8" i="7"/>
  <c r="AA7" i="7"/>
  <c r="R6" i="7"/>
  <c r="Z4" i="7"/>
  <c r="X18" i="7"/>
  <c r="AA17" i="7"/>
  <c r="AD16" i="7"/>
  <c r="R16" i="7"/>
  <c r="U15" i="7"/>
  <c r="X14" i="7"/>
  <c r="AA13" i="7"/>
  <c r="AD12" i="7"/>
  <c r="R12" i="7"/>
  <c r="U11" i="7"/>
  <c r="X10" i="7"/>
  <c r="AA9" i="7"/>
  <c r="AA8" i="7"/>
  <c r="U7" i="7"/>
  <c r="AA5" i="7"/>
  <c r="V4" i="7"/>
  <c r="V18" i="7"/>
  <c r="Y17" i="7"/>
  <c r="AB16" i="7"/>
  <c r="AE15" i="7"/>
  <c r="S15" i="7"/>
  <c r="V14" i="7"/>
  <c r="Y13" i="7"/>
  <c r="AB12" i="7"/>
  <c r="AE11" i="7"/>
  <c r="S11" i="7"/>
  <c r="V10" i="7"/>
  <c r="X9" i="7"/>
  <c r="X8" i="7"/>
  <c r="AD6" i="7"/>
  <c r="U5" i="7"/>
  <c r="T4" i="7"/>
  <c r="U18" i="7"/>
  <c r="X17" i="7"/>
  <c r="AA16" i="7"/>
  <c r="AD15" i="7"/>
  <c r="R15" i="7"/>
  <c r="U14" i="7"/>
  <c r="X13" i="7"/>
  <c r="AA12" i="7"/>
  <c r="AD11" i="7"/>
  <c r="R11" i="7"/>
  <c r="U10" i="7"/>
  <c r="U9" i="7"/>
  <c r="V8" i="7"/>
  <c r="AB6" i="7"/>
  <c r="AD8" i="7"/>
  <c r="AD18" i="7"/>
  <c r="R18" i="7"/>
  <c r="U17" i="7"/>
  <c r="X16" i="7"/>
  <c r="AA15" i="7"/>
  <c r="AD14" i="7"/>
  <c r="R14" i="7"/>
  <c r="U13" i="7"/>
  <c r="X12" i="7"/>
  <c r="AA11" i="7"/>
  <c r="AD10" i="7"/>
  <c r="R10" i="7"/>
  <c r="R9" i="7"/>
  <c r="U8" i="7"/>
  <c r="X6" i="7"/>
  <c r="R4" i="7"/>
  <c r="AA4" i="7"/>
  <c r="U4" i="7"/>
  <c r="AC18" i="7"/>
  <c r="W18" i="7"/>
  <c r="AF17" i="7"/>
  <c r="Z17" i="7"/>
  <c r="T17" i="7"/>
  <c r="AC16" i="7"/>
  <c r="W16" i="7"/>
  <c r="AF15" i="7"/>
  <c r="Z15" i="7"/>
  <c r="T15" i="7"/>
  <c r="AC14" i="7"/>
  <c r="W14" i="7"/>
  <c r="AF13" i="7"/>
  <c r="Z13" i="7"/>
  <c r="T13" i="7"/>
  <c r="AC12" i="7"/>
  <c r="W12" i="7"/>
  <c r="AF11" i="7"/>
  <c r="Z11" i="7"/>
  <c r="T11" i="7"/>
  <c r="AC10" i="7"/>
  <c r="W10" i="7"/>
  <c r="AF9" i="7"/>
  <c r="Z9" i="7"/>
  <c r="T9" i="7"/>
  <c r="AC8" i="7"/>
  <c r="W8" i="7"/>
  <c r="AF7" i="7"/>
  <c r="Z7" i="7"/>
  <c r="T7" i="7"/>
  <c r="AC6" i="7"/>
  <c r="W6" i="7"/>
  <c r="AF5" i="7"/>
  <c r="Z5" i="7"/>
  <c r="T5" i="7"/>
  <c r="Y4" i="7"/>
  <c r="AD7" i="7"/>
  <c r="X7" i="7"/>
  <c r="R7" i="7"/>
  <c r="AD5" i="7"/>
  <c r="X5" i="7"/>
  <c r="Y9" i="7"/>
  <c r="S9" i="7"/>
  <c r="AE7" i="7"/>
  <c r="Y7" i="7"/>
  <c r="AE5" i="7"/>
  <c r="Y5" i="7"/>
  <c r="S5" i="7"/>
  <c r="AE4" i="7"/>
  <c r="AF18" i="7"/>
  <c r="Z18" i="7"/>
  <c r="T18" i="7"/>
  <c r="AC17" i="7"/>
  <c r="W17" i="7"/>
  <c r="AF16" i="7"/>
  <c r="Z16" i="7"/>
  <c r="T16" i="7"/>
  <c r="AC15" i="7"/>
  <c r="W15" i="7"/>
  <c r="AF14" i="7"/>
  <c r="Z14" i="7"/>
  <c r="T14" i="7"/>
  <c r="AC13" i="7"/>
  <c r="W13" i="7"/>
  <c r="AF12" i="7"/>
  <c r="Z12" i="7"/>
  <c r="T12" i="7"/>
  <c r="AC11" i="7"/>
  <c r="W11" i="7"/>
  <c r="AF10" i="7"/>
  <c r="Z10" i="7"/>
  <c r="T10" i="7"/>
  <c r="AC9" i="7"/>
  <c r="W9" i="7"/>
  <c r="AF8" i="7"/>
  <c r="Z8" i="7"/>
  <c r="T8" i="7"/>
  <c r="AC7" i="7"/>
  <c r="W7" i="7"/>
  <c r="AC5" i="7"/>
  <c r="W5" i="7"/>
  <c r="S7" i="7"/>
  <c r="S4" i="7"/>
  <c r="AE18" i="7"/>
  <c r="Y18" i="7"/>
  <c r="S18" i="7"/>
  <c r="AB17" i="7"/>
  <c r="V17" i="7"/>
  <c r="AE16" i="7"/>
  <c r="Y16" i="7"/>
  <c r="S16" i="7"/>
  <c r="AB15" i="7"/>
  <c r="V15" i="7"/>
  <c r="AE14" i="7"/>
  <c r="Y14" i="7"/>
  <c r="S14" i="7"/>
  <c r="AB13" i="7"/>
  <c r="V13" i="7"/>
  <c r="AE12" i="7"/>
  <c r="Y12" i="7"/>
  <c r="S12" i="7"/>
  <c r="AB11" i="7"/>
  <c r="V11" i="7"/>
  <c r="AE10" i="7"/>
  <c r="Y10" i="7"/>
  <c r="S10" i="7"/>
  <c r="AB9" i="7"/>
  <c r="V9" i="7"/>
  <c r="AE8" i="7"/>
  <c r="Y8" i="7"/>
  <c r="S8" i="7"/>
  <c r="AB7" i="7"/>
  <c r="V7" i="7"/>
  <c r="P19" i="4"/>
  <c r="O19" i="4"/>
  <c r="N19" i="4"/>
  <c r="M19" i="4"/>
  <c r="K19" i="4"/>
  <c r="J19" i="4"/>
  <c r="I19" i="4"/>
  <c r="H19" i="4"/>
  <c r="G19" i="4"/>
  <c r="E19" i="4"/>
  <c r="AE7" i="4" l="1"/>
  <c r="AE16" i="4"/>
  <c r="AE5" i="4"/>
  <c r="AE8" i="4"/>
  <c r="AE11" i="4"/>
  <c r="AE14" i="4"/>
  <c r="AE6" i="4"/>
  <c r="AE9" i="4"/>
  <c r="AE12" i="4"/>
  <c r="AE15" i="4"/>
  <c r="AE18" i="4"/>
  <c r="AE10" i="4"/>
  <c r="AE13" i="4"/>
  <c r="AE4" i="4"/>
  <c r="AE17" i="4"/>
  <c r="AD5" i="4"/>
  <c r="AD13" i="4"/>
  <c r="AD4" i="4"/>
  <c r="AD10" i="4"/>
  <c r="AD14" i="4"/>
  <c r="AD18" i="4"/>
  <c r="AD7" i="4"/>
  <c r="AD11" i="4"/>
  <c r="AD17" i="4"/>
  <c r="AD12" i="4"/>
  <c r="AD9" i="4"/>
  <c r="AD15" i="4"/>
  <c r="AD16" i="4"/>
  <c r="AD8" i="4"/>
  <c r="AD6" i="4"/>
  <c r="AC6" i="4"/>
  <c r="AC12" i="4"/>
  <c r="AC15" i="4"/>
  <c r="AC18" i="4"/>
  <c r="AC10" i="4"/>
  <c r="AC8" i="4"/>
  <c r="AC14" i="4"/>
  <c r="AC17" i="4"/>
  <c r="AC7" i="4"/>
  <c r="AC16" i="4"/>
  <c r="AC5" i="4"/>
  <c r="AC11" i="4"/>
  <c r="AC13" i="4"/>
  <c r="AC4" i="4"/>
  <c r="AC9" i="4"/>
  <c r="AB7" i="4"/>
  <c r="AB13" i="4"/>
  <c r="AB4" i="4"/>
  <c r="AB9" i="4"/>
  <c r="AB6" i="4"/>
  <c r="AB12" i="4"/>
  <c r="AB18" i="4"/>
  <c r="AB10" i="4"/>
  <c r="AB15" i="4"/>
  <c r="AB5" i="4"/>
  <c r="AB11" i="4"/>
  <c r="AB17" i="4"/>
  <c r="AB8" i="4"/>
  <c r="AB14" i="4"/>
  <c r="AB16" i="4"/>
  <c r="Z9" i="4"/>
  <c r="Z15" i="4"/>
  <c r="Z13" i="4"/>
  <c r="Z10" i="4"/>
  <c r="Z16" i="4"/>
  <c r="Z8" i="4"/>
  <c r="Z5" i="4"/>
  <c r="Z11" i="4"/>
  <c r="Z17" i="4"/>
  <c r="Z6" i="4"/>
  <c r="Z12" i="4"/>
  <c r="Z18" i="4"/>
  <c r="Z7" i="4"/>
  <c r="Z4" i="4"/>
  <c r="Z14" i="4"/>
  <c r="Y7" i="4"/>
  <c r="Y16" i="4"/>
  <c r="Y5" i="4"/>
  <c r="Y8" i="4"/>
  <c r="Y11" i="4"/>
  <c r="Y14" i="4"/>
  <c r="Y17" i="4"/>
  <c r="Y6" i="4"/>
  <c r="Y9" i="4"/>
  <c r="Y12" i="4"/>
  <c r="Y15" i="4"/>
  <c r="Y18" i="4"/>
  <c r="Y10" i="4"/>
  <c r="Y13" i="4"/>
  <c r="Y4" i="4"/>
  <c r="X11" i="4"/>
  <c r="X7" i="4"/>
  <c r="X5" i="4"/>
  <c r="X9" i="4"/>
  <c r="X13" i="4"/>
  <c r="X15" i="4"/>
  <c r="X17" i="4"/>
  <c r="X4" i="4"/>
  <c r="X8" i="4"/>
  <c r="X10" i="4"/>
  <c r="X14" i="4"/>
  <c r="X16" i="4"/>
  <c r="X18" i="4"/>
  <c r="X12" i="4"/>
  <c r="X6" i="4"/>
  <c r="W6" i="4"/>
  <c r="W8" i="4"/>
  <c r="W17" i="4"/>
  <c r="W5" i="4"/>
  <c r="W11" i="4"/>
  <c r="W14" i="4"/>
  <c r="W15" i="4"/>
  <c r="W7" i="4"/>
  <c r="W10" i="4"/>
  <c r="W13" i="4"/>
  <c r="W16" i="4"/>
  <c r="W4" i="4"/>
  <c r="W18" i="4"/>
  <c r="W9" i="4"/>
  <c r="W12" i="4"/>
  <c r="V7" i="4"/>
  <c r="V13" i="4"/>
  <c r="V6" i="4"/>
  <c r="V12" i="4"/>
  <c r="V18" i="4"/>
  <c r="V5" i="4"/>
  <c r="V11" i="4"/>
  <c r="V17" i="4"/>
  <c r="V9" i="4"/>
  <c r="V10" i="4"/>
  <c r="V16" i="4"/>
  <c r="V15" i="4"/>
  <c r="V8" i="4"/>
  <c r="V14" i="4"/>
  <c r="V4" i="4"/>
  <c r="T9" i="4"/>
  <c r="T15" i="4"/>
  <c r="T4" i="4"/>
  <c r="T10" i="4"/>
  <c r="T16" i="4"/>
  <c r="T7" i="4"/>
  <c r="T5" i="4"/>
  <c r="T11" i="4"/>
  <c r="T17" i="4"/>
  <c r="T13" i="4"/>
  <c r="T6" i="4"/>
  <c r="T12" i="4"/>
  <c r="T18" i="4"/>
  <c r="T8" i="4"/>
  <c r="T14" i="4"/>
  <c r="F19" i="4"/>
  <c r="L19" i="4"/>
  <c r="D19" i="4"/>
  <c r="C19" i="4"/>
  <c r="AA7" i="4" l="1"/>
  <c r="AA16" i="4"/>
  <c r="AA6" i="4"/>
  <c r="AA15" i="4"/>
  <c r="AA5" i="4"/>
  <c r="AA10" i="4"/>
  <c r="AA13" i="4"/>
  <c r="AA18" i="4"/>
  <c r="AA8" i="4"/>
  <c r="AA11" i="4"/>
  <c r="AA12" i="4"/>
  <c r="AA14" i="4"/>
  <c r="AA17" i="4"/>
  <c r="AA4" i="4"/>
  <c r="AA9" i="4"/>
  <c r="U8" i="4"/>
  <c r="U6" i="4"/>
  <c r="U10" i="4"/>
  <c r="U13" i="4"/>
  <c r="U16" i="4"/>
  <c r="U18" i="4"/>
  <c r="U5" i="4"/>
  <c r="U11" i="4"/>
  <c r="U12" i="4"/>
  <c r="U14" i="4"/>
  <c r="U15" i="4"/>
  <c r="U17" i="4"/>
  <c r="U4" i="4"/>
  <c r="U9" i="4"/>
  <c r="U7" i="4"/>
  <c r="S7" i="4"/>
  <c r="S4" i="4"/>
  <c r="S8" i="4"/>
  <c r="S5" i="4"/>
  <c r="S11" i="4"/>
  <c r="S14" i="4"/>
  <c r="S18" i="4"/>
  <c r="S6" i="4"/>
  <c r="S9" i="4"/>
  <c r="S12" i="4"/>
  <c r="S15" i="4"/>
  <c r="S10" i="4"/>
  <c r="S13" i="4"/>
  <c r="S16" i="4"/>
  <c r="S17" i="4"/>
  <c r="R9" i="4"/>
  <c r="R7" i="4"/>
  <c r="R13" i="4"/>
  <c r="R15" i="4"/>
  <c r="R5" i="4"/>
  <c r="R11" i="4"/>
  <c r="R17" i="4"/>
  <c r="R4" i="4"/>
  <c r="R8" i="4"/>
  <c r="R10" i="4"/>
  <c r="R14" i="4"/>
  <c r="R16" i="4"/>
  <c r="R6" i="4"/>
  <c r="R12" i="4"/>
  <c r="R18" i="4"/>
  <c r="AG12" i="8"/>
  <c r="AG15" i="8"/>
  <c r="AG8" i="8"/>
  <c r="AG5" i="8"/>
  <c r="AG10" i="8"/>
  <c r="AG15" i="7"/>
  <c r="AG18" i="7"/>
  <c r="AG16" i="7"/>
  <c r="AG17" i="5"/>
  <c r="AG7" i="5"/>
  <c r="AG10" i="5"/>
  <c r="AG16" i="5"/>
  <c r="E40" i="3" l="1"/>
  <c r="I20" i="5"/>
  <c r="E46" i="3"/>
  <c r="O20" i="5"/>
  <c r="E37" i="3"/>
  <c r="F20" i="5"/>
  <c r="E47" i="3"/>
  <c r="P20" i="5"/>
  <c r="H40" i="3"/>
  <c r="I20" i="8"/>
  <c r="H45" i="3"/>
  <c r="N20" i="8"/>
  <c r="H35" i="3"/>
  <c r="D20" i="8"/>
  <c r="H38" i="3"/>
  <c r="G20" i="8"/>
  <c r="H42" i="3"/>
  <c r="K20" i="8"/>
  <c r="G45" i="3"/>
  <c r="N20" i="7"/>
  <c r="G46" i="3"/>
  <c r="O20" i="7"/>
  <c r="G48" i="3"/>
  <c r="Q20" i="7"/>
  <c r="AG6" i="7"/>
  <c r="AG9" i="7"/>
  <c r="AG11" i="7"/>
  <c r="AG12" i="7"/>
  <c r="AG5" i="7"/>
  <c r="AG8" i="7"/>
  <c r="AG10" i="6"/>
  <c r="AG18" i="6"/>
  <c r="AG9" i="6"/>
  <c r="AG12" i="6"/>
  <c r="AG6" i="6"/>
  <c r="AG8" i="6"/>
  <c r="AG7" i="6"/>
  <c r="F20" i="6" s="1"/>
  <c r="AG14" i="6"/>
  <c r="AG11" i="6"/>
  <c r="AG5" i="6"/>
  <c r="AG17" i="6"/>
  <c r="AG13" i="6"/>
  <c r="AG4" i="6"/>
  <c r="AG16" i="6"/>
  <c r="AG15" i="6"/>
  <c r="AG9" i="8"/>
  <c r="AG16" i="8"/>
  <c r="AG4" i="8"/>
  <c r="AG14" i="8"/>
  <c r="AG7" i="8"/>
  <c r="AG18" i="8"/>
  <c r="AG13" i="8"/>
  <c r="AG11" i="8"/>
  <c r="AG17" i="8"/>
  <c r="AG6" i="8"/>
  <c r="AG4" i="7"/>
  <c r="AG14" i="7"/>
  <c r="AG17" i="7"/>
  <c r="AG7" i="7"/>
  <c r="AG13" i="7"/>
  <c r="AG10" i="7"/>
  <c r="AG15" i="5"/>
  <c r="AG12" i="5"/>
  <c r="AG13" i="5"/>
  <c r="AG4" i="5"/>
  <c r="AG18" i="5"/>
  <c r="AG6" i="5"/>
  <c r="AG5" i="5"/>
  <c r="AG8" i="5"/>
  <c r="AG14" i="5"/>
  <c r="AG9" i="5"/>
  <c r="AG11" i="5"/>
  <c r="D29" i="3"/>
  <c r="I24" i="3" s="1"/>
  <c r="N24" i="3" s="1"/>
  <c r="D49" i="3" s="1"/>
  <c r="E36" i="3" l="1"/>
  <c r="E20" i="5"/>
  <c r="E44" i="3"/>
  <c r="M20" i="5"/>
  <c r="E43" i="3"/>
  <c r="L20" i="5"/>
  <c r="E41" i="3"/>
  <c r="J20" i="5"/>
  <c r="E48" i="3"/>
  <c r="Q20" i="5"/>
  <c r="E39" i="3"/>
  <c r="H20" i="5"/>
  <c r="E34" i="3"/>
  <c r="C20" i="5"/>
  <c r="E38" i="3"/>
  <c r="G20" i="5"/>
  <c r="E42" i="3"/>
  <c r="K20" i="5"/>
  <c r="E35" i="3"/>
  <c r="D20" i="5"/>
  <c r="E45" i="3"/>
  <c r="N20" i="5"/>
  <c r="H47" i="3"/>
  <c r="P20" i="8"/>
  <c r="H41" i="3"/>
  <c r="J20" i="8"/>
  <c r="H43" i="3"/>
  <c r="L20" i="8"/>
  <c r="H39" i="3"/>
  <c r="H20" i="8"/>
  <c r="H48" i="3"/>
  <c r="Q20" i="8"/>
  <c r="H37" i="3"/>
  <c r="F20" i="8"/>
  <c r="H34" i="3"/>
  <c r="C20" i="8"/>
  <c r="H46" i="3"/>
  <c r="O20" i="8"/>
  <c r="H36" i="3"/>
  <c r="E20" i="8"/>
  <c r="H44" i="3"/>
  <c r="M20" i="8"/>
  <c r="G35" i="3"/>
  <c r="D20" i="7"/>
  <c r="G38" i="3"/>
  <c r="G20" i="7"/>
  <c r="G37" i="3"/>
  <c r="F20" i="7"/>
  <c r="G47" i="3"/>
  <c r="P20" i="7"/>
  <c r="G34" i="3"/>
  <c r="C20" i="7"/>
  <c r="G39" i="3"/>
  <c r="H20" i="7"/>
  <c r="G43" i="3"/>
  <c r="L20" i="7"/>
  <c r="G42" i="3"/>
  <c r="K20" i="7"/>
  <c r="G44" i="3"/>
  <c r="M20" i="7"/>
  <c r="G41" i="3"/>
  <c r="J20" i="7"/>
  <c r="G40" i="3"/>
  <c r="I20" i="7"/>
  <c r="G36" i="3"/>
  <c r="E20" i="7"/>
  <c r="F36" i="3"/>
  <c r="E20" i="6"/>
  <c r="F38" i="3"/>
  <c r="G20" i="6"/>
  <c r="F35" i="3"/>
  <c r="D20" i="6"/>
  <c r="F41" i="3"/>
  <c r="J20" i="6"/>
  <c r="F46" i="3"/>
  <c r="O20" i="6"/>
  <c r="F44" i="3"/>
  <c r="M20" i="6"/>
  <c r="F48" i="3"/>
  <c r="Q20" i="6"/>
  <c r="F43" i="3"/>
  <c r="L20" i="6"/>
  <c r="F47" i="3"/>
  <c r="P20" i="6"/>
  <c r="F42" i="3"/>
  <c r="K20" i="6"/>
  <c r="F45" i="3"/>
  <c r="N20" i="6"/>
  <c r="F39" i="3"/>
  <c r="H20" i="6"/>
  <c r="F34" i="3"/>
  <c r="C20" i="6"/>
  <c r="F37" i="3"/>
  <c r="F40" i="3"/>
  <c r="I20" i="6"/>
  <c r="I27" i="3"/>
  <c r="N27" i="3" s="1"/>
  <c r="G49" i="3" s="1"/>
  <c r="I28" i="3"/>
  <c r="N28" i="3" s="1"/>
  <c r="H49" i="3" s="1"/>
  <c r="I25" i="3"/>
  <c r="N25" i="3" s="1"/>
  <c r="E49" i="3" s="1"/>
  <c r="I26" i="3"/>
  <c r="N26" i="3" s="1"/>
  <c r="F49" i="3" s="1"/>
  <c r="AI8" i="5" l="1"/>
  <c r="AJ8" i="5" s="1"/>
  <c r="AI16" i="5"/>
  <c r="AJ16" i="5" s="1"/>
  <c r="AI13" i="5"/>
  <c r="AJ13" i="5" s="1"/>
  <c r="AI7" i="5"/>
  <c r="AJ7" i="5" s="1"/>
  <c r="AI5" i="5"/>
  <c r="AJ5" i="5" s="1"/>
  <c r="AI4" i="5"/>
  <c r="AJ4" i="5" s="1"/>
  <c r="AI11" i="5"/>
  <c r="AJ11" i="5" s="1"/>
  <c r="AI12" i="5"/>
  <c r="AJ12" i="5" s="1"/>
  <c r="AI14" i="5"/>
  <c r="AJ14" i="5" s="1"/>
  <c r="AI10" i="5"/>
  <c r="AJ10" i="5" s="1"/>
  <c r="AI18" i="5"/>
  <c r="AJ18" i="5" s="1"/>
  <c r="AI6" i="5"/>
  <c r="AJ6" i="5" s="1"/>
  <c r="AI9" i="5"/>
  <c r="AJ9" i="5" s="1"/>
  <c r="AI15" i="5"/>
  <c r="AJ15" i="5" s="1"/>
  <c r="AI17" i="5"/>
  <c r="AJ17" i="5" s="1"/>
  <c r="AI13" i="8"/>
  <c r="AJ13" i="8" s="1"/>
  <c r="AI7" i="8"/>
  <c r="AJ7" i="8" s="1"/>
  <c r="AI12" i="8"/>
  <c r="AJ12" i="8" s="1"/>
  <c r="AI6" i="8"/>
  <c r="AJ6" i="8" s="1"/>
  <c r="AI17" i="8"/>
  <c r="AJ17" i="8" s="1"/>
  <c r="AI5" i="8"/>
  <c r="AJ5" i="8" s="1"/>
  <c r="AI16" i="8"/>
  <c r="AJ16" i="8" s="1"/>
  <c r="AI18" i="8"/>
  <c r="AJ18" i="8" s="1"/>
  <c r="AI15" i="8"/>
  <c r="AJ15" i="8" s="1"/>
  <c r="AI9" i="8"/>
  <c r="AJ9" i="8" s="1"/>
  <c r="AI4" i="8"/>
  <c r="AJ4" i="8" s="1"/>
  <c r="AI14" i="8"/>
  <c r="AJ14" i="8" s="1"/>
  <c r="AI8" i="8"/>
  <c r="AJ8" i="8" s="1"/>
  <c r="AI11" i="8"/>
  <c r="AJ11" i="8" s="1"/>
  <c r="AI10" i="8"/>
  <c r="AJ10" i="8" s="1"/>
  <c r="AI17" i="7"/>
  <c r="AJ17" i="7" s="1"/>
  <c r="AI11" i="7"/>
  <c r="AJ11" i="7" s="1"/>
  <c r="AI5" i="7"/>
  <c r="AJ5" i="7" s="1"/>
  <c r="AI10" i="7"/>
  <c r="AJ10" i="7" s="1"/>
  <c r="AI15" i="7"/>
  <c r="AJ15" i="7" s="1"/>
  <c r="AI9" i="7"/>
  <c r="AJ9" i="7" s="1"/>
  <c r="AI14" i="7"/>
  <c r="AJ14" i="7" s="1"/>
  <c r="AI7" i="7"/>
  <c r="AJ7" i="7" s="1"/>
  <c r="AI16" i="7"/>
  <c r="AJ16" i="7" s="1"/>
  <c r="AI13" i="7"/>
  <c r="AJ13" i="7" s="1"/>
  <c r="AI18" i="7"/>
  <c r="AJ18" i="7" s="1"/>
  <c r="AI12" i="7"/>
  <c r="AJ12" i="7" s="1"/>
  <c r="AI6" i="7"/>
  <c r="AJ6" i="7" s="1"/>
  <c r="AI4" i="7"/>
  <c r="AJ4" i="7" s="1"/>
  <c r="AI8" i="7"/>
  <c r="AJ8" i="7" s="1"/>
  <c r="AI4" i="6"/>
  <c r="AJ4" i="6" s="1"/>
  <c r="AI15" i="6"/>
  <c r="AJ15" i="6" s="1"/>
  <c r="AI9" i="6"/>
  <c r="AJ9" i="6" s="1"/>
  <c r="AI7" i="6"/>
  <c r="AJ7" i="6" s="1"/>
  <c r="AI18" i="6"/>
  <c r="AJ18" i="6" s="1"/>
  <c r="AI6" i="6"/>
  <c r="AJ6" i="6" s="1"/>
  <c r="AI14" i="6"/>
  <c r="AJ14" i="6" s="1"/>
  <c r="AI8" i="6"/>
  <c r="AJ8" i="6" s="1"/>
  <c r="AI13" i="6"/>
  <c r="AJ13" i="6" s="1"/>
  <c r="AI12" i="6"/>
  <c r="AJ12" i="6" s="1"/>
  <c r="AI10" i="6"/>
  <c r="AJ10" i="6" s="1"/>
  <c r="AI17" i="6"/>
  <c r="AJ17" i="6" s="1"/>
  <c r="AI11" i="6"/>
  <c r="AJ11" i="6" s="1"/>
  <c r="AI5" i="6"/>
  <c r="AJ5" i="6" s="1"/>
  <c r="AI16" i="6"/>
  <c r="AJ16" i="6" s="1"/>
  <c r="J14" i="3"/>
  <c r="K14" i="3" s="1"/>
  <c r="J16" i="3"/>
  <c r="K16" i="3" s="1"/>
  <c r="J17" i="3"/>
  <c r="K17" i="3" s="1"/>
  <c r="J15" i="3"/>
  <c r="K15" i="3" s="1"/>
  <c r="J18" i="3"/>
  <c r="K18" i="3" s="1"/>
  <c r="AK4" i="5" l="1"/>
  <c r="AP3" i="5" s="1"/>
  <c r="AP4" i="5" s="1"/>
  <c r="AK4" i="8"/>
  <c r="AP3" i="8" s="1"/>
  <c r="AP4" i="8" s="1"/>
  <c r="AK4" i="7"/>
  <c r="AP3" i="7" s="1"/>
  <c r="AP4" i="7" s="1"/>
  <c r="AK4" i="6"/>
  <c r="L14" i="3"/>
  <c r="Q13" i="3" s="1"/>
  <c r="Q14" i="3" s="1"/>
  <c r="Q19" i="4"/>
  <c r="AF18" i="4" s="1"/>
  <c r="AG18" i="4" s="1"/>
  <c r="D48" i="3" s="1"/>
  <c r="I48" i="3" s="1"/>
  <c r="AP3" i="6" l="1"/>
  <c r="AP4" i="6" s="1"/>
  <c r="AF15" i="4"/>
  <c r="AG15" i="4" s="1"/>
  <c r="D45" i="3" s="1"/>
  <c r="I45" i="3" s="1"/>
  <c r="AF6" i="4"/>
  <c r="AG6" i="4" s="1"/>
  <c r="D36" i="3" s="1"/>
  <c r="I36" i="3" s="1"/>
  <c r="AF10" i="4"/>
  <c r="AG10" i="4" s="1"/>
  <c r="D40" i="3" s="1"/>
  <c r="I40" i="3" s="1"/>
  <c r="AF16" i="4"/>
  <c r="AG16" i="4" s="1"/>
  <c r="D46" i="3" s="1"/>
  <c r="I46" i="3" s="1"/>
  <c r="AF17" i="4"/>
  <c r="AG17" i="4" s="1"/>
  <c r="D47" i="3" s="1"/>
  <c r="I47" i="3" s="1"/>
  <c r="AF9" i="4"/>
  <c r="AG9" i="4" s="1"/>
  <c r="D39" i="3" s="1"/>
  <c r="I39" i="3" s="1"/>
  <c r="AF5" i="4"/>
  <c r="AG5" i="4" s="1"/>
  <c r="D35" i="3" s="1"/>
  <c r="I35" i="3" s="1"/>
  <c r="AF13" i="4"/>
  <c r="AG13" i="4" s="1"/>
  <c r="D43" i="3" s="1"/>
  <c r="I43" i="3" s="1"/>
  <c r="AF12" i="4"/>
  <c r="AG12" i="4" s="1"/>
  <c r="D42" i="3" s="1"/>
  <c r="I42" i="3" s="1"/>
  <c r="AF14" i="4"/>
  <c r="AG14" i="4" s="1"/>
  <c r="D44" i="3" s="1"/>
  <c r="I44" i="3" s="1"/>
  <c r="AF8" i="4"/>
  <c r="AG8" i="4" s="1"/>
  <c r="D38" i="3" s="1"/>
  <c r="I38" i="3" s="1"/>
  <c r="AF7" i="4"/>
  <c r="AG7" i="4" s="1"/>
  <c r="D37" i="3" s="1"/>
  <c r="I37" i="3" s="1"/>
  <c r="AF4" i="4"/>
  <c r="AG4" i="4" s="1"/>
  <c r="AF11" i="4"/>
  <c r="AG11" i="4" s="1"/>
  <c r="D41" i="3" s="1"/>
  <c r="I41" i="3" s="1"/>
  <c r="D34" i="3" l="1"/>
  <c r="I34" i="3" s="1"/>
  <c r="C20" i="4"/>
</calcChain>
</file>

<file path=xl/sharedStrings.xml><?xml version="1.0" encoding="utf-8"?>
<sst xmlns="http://schemas.openxmlformats.org/spreadsheetml/2006/main" count="385" uniqueCount="77">
  <si>
    <t>Alternativas</t>
  </si>
  <si>
    <t>Criterios</t>
  </si>
  <si>
    <t>Técnico</t>
  </si>
  <si>
    <t>Social</t>
  </si>
  <si>
    <t>Comercial</t>
  </si>
  <si>
    <t>Ambiental</t>
  </si>
  <si>
    <t>Económico</t>
  </si>
  <si>
    <t>Total</t>
  </si>
  <si>
    <t>Matriz normalizada</t>
  </si>
  <si>
    <t>Ponderación</t>
  </si>
  <si>
    <t>CR=CI/RI</t>
  </si>
  <si>
    <t>Criterio Técnico</t>
  </si>
  <si>
    <t>Vector Promedio</t>
  </si>
  <si>
    <t>Criterio Social</t>
  </si>
  <si>
    <t>Criterio Comercial</t>
  </si>
  <si>
    <t>Criterio Ambiental</t>
  </si>
  <si>
    <t>Priorización</t>
  </si>
  <si>
    <t>Criterio Económico</t>
  </si>
  <si>
    <t>Esperanza</t>
  </si>
  <si>
    <t>Placeres</t>
  </si>
  <si>
    <t>Padre Demian Molokai</t>
  </si>
  <si>
    <t>Rodelillo</t>
  </si>
  <si>
    <t>Baron</t>
  </si>
  <si>
    <t>Reina Isabel 2</t>
  </si>
  <si>
    <t>Jean y Marie Thierry</t>
  </si>
  <si>
    <t>Las Cañas</t>
  </si>
  <si>
    <t>Plaza Justicia</t>
  </si>
  <si>
    <t>Marcelo Mena</t>
  </si>
  <si>
    <t>Quebrada Verde</t>
  </si>
  <si>
    <t>Cordillera</t>
  </si>
  <si>
    <t>Puertas Negras</t>
  </si>
  <si>
    <t>Laguna Verde</t>
  </si>
  <si>
    <t>Placilla</t>
  </si>
  <si>
    <t>Capacidad técnica de la red eléctrica</t>
  </si>
  <si>
    <t>Costos de instalación, operación y mantenimiento</t>
  </si>
  <si>
    <t>Cantidad de Personas beneficiadas</t>
  </si>
  <si>
    <t>Calles con ato flujo y emisiones de CO2</t>
  </si>
  <si>
    <t>Cercanica y fomento al turismo y comercio</t>
  </si>
  <si>
    <t>Importancia o Jerarquia de Criterios</t>
  </si>
  <si>
    <t>Resultado AHP</t>
  </si>
  <si>
    <t>Datos cuantificados de los criterios y alternativas</t>
  </si>
  <si>
    <t>cocientes</t>
  </si>
  <si>
    <r>
      <t>CI=(</t>
    </r>
    <r>
      <rPr>
        <sz val="11"/>
        <color theme="1"/>
        <rFont val="Aptos Narrow"/>
        <family val="2"/>
      </rPr>
      <t>λ</t>
    </r>
    <r>
      <rPr>
        <sz val="11"/>
        <color theme="1"/>
        <rFont val="Times New Roman"/>
        <family val="1"/>
      </rPr>
      <t>max-n)/(n-1)</t>
    </r>
  </si>
  <si>
    <t>Axw</t>
  </si>
  <si>
    <t>n</t>
  </si>
  <si>
    <t>λmax</t>
  </si>
  <si>
    <t>RI</t>
  </si>
  <si>
    <t>MVA dispo</t>
  </si>
  <si>
    <t>estand</t>
  </si>
  <si>
    <t>comp</t>
  </si>
  <si>
    <t>ressult</t>
  </si>
  <si>
    <t>saaty</t>
  </si>
  <si>
    <t>Cálculo y asignación de pesos</t>
  </si>
  <si>
    <t>Unidad Vecinal</t>
  </si>
  <si>
    <t>A</t>
  </si>
  <si>
    <t>B</t>
  </si>
  <si>
    <t>C</t>
  </si>
  <si>
    <t>D</t>
  </si>
  <si>
    <t>Score</t>
  </si>
  <si>
    <t>Peso UV po</t>
  </si>
  <si>
    <t>Intervalo r</t>
  </si>
  <si>
    <t>Peso Saaty</t>
  </si>
  <si>
    <t>Intervalo recíproco</t>
  </si>
  <si>
    <t>Peso recíproco</t>
  </si>
  <si>
    <t>1.00 ≤ r &lt; 1.25</t>
  </si>
  <si>
    <t>0.80 &lt; r &lt; 1.00</t>
  </si>
  <si>
    <t>1.25 ≤ r &lt; 1.5</t>
  </si>
  <si>
    <t>0.6667 &lt; r &lt; 0.80</t>
  </si>
  <si>
    <t>1.5 ≤ r &lt; 2.0</t>
  </si>
  <si>
    <t>0.50 &lt; r &lt; 0.6667</t>
  </si>
  <si>
    <t>2.0 ≤ r &lt; 3.0</t>
  </si>
  <si>
    <t>0.3333 &lt; r &lt; 0.50</t>
  </si>
  <si>
    <t>r ≥ 3.0</t>
  </si>
  <si>
    <t>r ≤ 0.3333</t>
  </si>
  <si>
    <t>Precio</t>
  </si>
  <si>
    <t>SI(F24&lt;0;"r";
SI(F24=0;1;
SI(Y(F24&gt;=1;F24&lt;=1,25);1;
SI(Y(F24&gt;1,25;F24&lt;=1,5);3;
SI(Y(F24&gt;1,5;F24&lt;=2);5;
SI(Y(F24&gt;2;F24&lt;=3);7;
SI(F24&gt;3;9;
"")))))))</t>
  </si>
  <si>
    <t>SI(I24=0;1;
 SI(I24&lt;1;"";
 SI(Y(I24&gt;=1;I24&lt;1,25);1;
 SI(Y(I24&gt;=1,25;I24&lt;1,5);3;
 SI(Y(I24&gt;=1,5;I24&lt;2);5;
 SI(Y(I24&gt;=2;I24&lt;3);7;
 SI(I24&gt;=3;9;
 "")))))))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</si>
</sst>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0.0000"/>
    <numFmt numFmtId="165" formatCode="0.000"/>
    <numFmt numFmtId="166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20" xfId="0" applyNumberFormat="1" applyFont="1" applyBorder="1" applyAlignment="1">
      <alignment horizontal="center" vertical="center" wrapText="1"/>
    </xf>
    <xf numFmtId="164" fontId="1" fillId="0" borderId="30" xfId="0" applyNumberFormat="1" applyFont="1" applyBorder="1" applyAlignment="1">
      <alignment horizontal="center" vertical="center" wrapText="1"/>
    </xf>
    <xf numFmtId="164" fontId="1" fillId="0" borderId="26" xfId="0" applyNumberFormat="1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0" borderId="0" xfId="0" applyFont="1"/>
    <xf numFmtId="0" fontId="1" fillId="3" borderId="18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3" borderId="28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>
      <alignment horizontal="center" vertical="center" wrapText="1"/>
    </xf>
    <xf numFmtId="164" fontId="1" fillId="0" borderId="32" xfId="0" applyNumberFormat="1" applyFont="1" applyBorder="1" applyAlignment="1">
      <alignment horizontal="center" vertical="center" wrapText="1"/>
    </xf>
    <xf numFmtId="164" fontId="1" fillId="0" borderId="3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2" fontId="1" fillId="0" borderId="36" xfId="0" applyNumberFormat="1" applyFont="1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165" fontId="1" fillId="0" borderId="1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164" fontId="1" fillId="0" borderId="35" xfId="0" applyNumberFormat="1" applyFont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2" fontId="1" fillId="0" borderId="44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>
      <alignment horizontal="center" vertical="center" wrapText="1"/>
    </xf>
    <xf numFmtId="164" fontId="1" fillId="0" borderId="23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4" xfId="0" applyNumberFormat="1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5" fontId="0" fillId="0" borderId="6" xfId="0" applyNumberFormat="1" applyBorder="1" applyAlignment="1">
      <alignment vertical="center" wrapText="1"/>
    </xf>
    <xf numFmtId="165" fontId="0" fillId="0" borderId="7" xfId="0" applyNumberFormat="1" applyBorder="1" applyAlignment="1">
      <alignment vertical="center" wrapText="1"/>
    </xf>
    <xf numFmtId="165" fontId="0" fillId="0" borderId="8" xfId="0" applyNumberFormat="1" applyBorder="1" applyAlignment="1">
      <alignment vertical="center" wrapText="1"/>
    </xf>
    <xf numFmtId="165" fontId="0" fillId="0" borderId="9" xfId="0" applyNumberFormat="1" applyBorder="1" applyAlignment="1">
      <alignment vertical="center" wrapText="1"/>
    </xf>
    <xf numFmtId="165" fontId="0" fillId="0" borderId="10" xfId="0" applyNumberFormat="1" applyBorder="1" applyAlignment="1">
      <alignment vertical="center" wrapText="1"/>
    </xf>
    <xf numFmtId="165" fontId="0" fillId="0" borderId="11" xfId="0" applyNumberFormat="1" applyBorder="1" applyAlignment="1">
      <alignment vertical="center" wrapText="1"/>
    </xf>
    <xf numFmtId="2" fontId="0" fillId="0" borderId="4" xfId="0" applyNumberFormat="1" applyBorder="1"/>
    <xf numFmtId="10" fontId="1" fillId="0" borderId="37" xfId="1" applyNumberFormat="1" applyFont="1" applyBorder="1" applyAlignment="1">
      <alignment horizontal="center" vertical="center"/>
    </xf>
    <xf numFmtId="10" fontId="1" fillId="0" borderId="2" xfId="1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0" fontId="1" fillId="0" borderId="0" xfId="1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64" fontId="1" fillId="0" borderId="37" xfId="1" applyNumberFormat="1" applyFont="1" applyBorder="1" applyAlignment="1">
      <alignment horizontal="center" vertical="center" wrapText="1"/>
    </xf>
    <xf numFmtId="164" fontId="1" fillId="0" borderId="45" xfId="1" applyNumberFormat="1" applyFont="1" applyBorder="1" applyAlignment="1">
      <alignment horizontal="center" vertical="center" wrapText="1"/>
    </xf>
    <xf numFmtId="164" fontId="1" fillId="0" borderId="39" xfId="1" applyNumberFormat="1" applyFont="1" applyBorder="1" applyAlignment="1">
      <alignment horizontal="center" vertical="center" wrapText="1"/>
    </xf>
    <xf numFmtId="165" fontId="1" fillId="0" borderId="35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5" fontId="1" fillId="0" borderId="25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2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46" xfId="0" applyNumberFormat="1" applyFont="1" applyBorder="1" applyAlignment="1">
      <alignment horizontal="center" vertical="center" wrapText="1"/>
    </xf>
    <xf numFmtId="2" fontId="1" fillId="0" borderId="47" xfId="0" applyNumberFormat="1" applyFont="1" applyBorder="1" applyAlignment="1">
      <alignment horizontal="center" vertical="center" wrapText="1"/>
    </xf>
    <xf numFmtId="2" fontId="1" fillId="0" borderId="48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164" fontId="1" fillId="0" borderId="49" xfId="0" applyNumberFormat="1" applyFont="1" applyBorder="1" applyAlignment="1">
      <alignment horizontal="center" vertical="center"/>
    </xf>
    <xf numFmtId="164" fontId="1" fillId="0" borderId="50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/>
    </xf>
    <xf numFmtId="2" fontId="1" fillId="0" borderId="54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0" borderId="0" xfId="0" applyNumberFormat="1" applyFont="1"/>
    <xf numFmtId="2" fontId="1" fillId="0" borderId="30" xfId="0" applyNumberFormat="1" applyFont="1" applyBorder="1"/>
    <xf numFmtId="2" fontId="1" fillId="0" borderId="34" xfId="0" applyNumberFormat="1" applyFont="1" applyBorder="1"/>
    <xf numFmtId="2" fontId="1" fillId="0" borderId="31" xfId="0" applyNumberFormat="1" applyFont="1" applyBorder="1"/>
    <xf numFmtId="2" fontId="1" fillId="0" borderId="26" xfId="0" applyNumberFormat="1" applyFont="1" applyBorder="1"/>
    <xf numFmtId="2" fontId="1" fillId="0" borderId="38" xfId="0" applyNumberFormat="1" applyFont="1" applyBorder="1"/>
    <xf numFmtId="2" fontId="1" fillId="0" borderId="43" xfId="0" applyNumberFormat="1" applyFont="1" applyBorder="1"/>
    <xf numFmtId="2" fontId="1" fillId="0" borderId="28" xfId="0" applyNumberFormat="1" applyFont="1" applyBorder="1"/>
    <xf numFmtId="2" fontId="1" fillId="0" borderId="29" xfId="0" applyNumberFormat="1" applyFont="1" applyBorder="1"/>
    <xf numFmtId="2" fontId="1" fillId="0" borderId="56" xfId="0" applyNumberFormat="1" applyFont="1" applyBorder="1"/>
    <xf numFmtId="2" fontId="1" fillId="0" borderId="39" xfId="0" applyNumberFormat="1" applyFont="1" applyBorder="1"/>
    <xf numFmtId="12" fontId="1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12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42" fontId="1" fillId="0" borderId="37" xfId="0" applyNumberFormat="1" applyFont="1" applyBorder="1" applyAlignment="1">
      <alignment horizontal="center" vertical="center"/>
    </xf>
    <xf numFmtId="42" fontId="1" fillId="0" borderId="57" xfId="0" applyNumberFormat="1" applyFont="1" applyBorder="1" applyAlignment="1">
      <alignment horizontal="center" vertical="center"/>
    </xf>
    <xf numFmtId="42" fontId="1" fillId="0" borderId="58" xfId="0" applyNumberFormat="1" applyFont="1" applyBorder="1" applyAlignment="1">
      <alignment horizontal="center" vertical="center"/>
    </xf>
    <xf numFmtId="2" fontId="1" fillId="0" borderId="25" xfId="0" applyNumberFormat="1" applyFont="1" applyBorder="1"/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22</xdr:row>
      <xdr:rowOff>0</xdr:rowOff>
    </xdr:from>
    <xdr:to>
      <xdr:col>8</xdr:col>
      <xdr:colOff>729180</xdr:colOff>
      <xdr:row>30</xdr:row>
      <xdr:rowOff>114515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61B3BA-1D5B-9F85-93D3-C29851D01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8438" y="4316016"/>
          <a:ext cx="3705742" cy="1543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23</xdr:row>
      <xdr:rowOff>0</xdr:rowOff>
    </xdr:from>
    <xdr:to>
      <xdr:col>11</xdr:col>
      <xdr:colOff>36816</xdr:colOff>
      <xdr:row>50</xdr:row>
      <xdr:rowOff>172152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DDAF47-EBD3-4631-EEB3-CFAF3C934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9667" y="4656667"/>
          <a:ext cx="5963482" cy="5029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D047-9FE6-49DB-83AC-5DC90F9F0A76}">
  <dimension ref="B1:Q49"/>
  <sheetViews>
    <sheetView topLeftCell="A17" zoomScale="64" zoomScaleNormal="80" workbookViewId="0">
      <selection activeCell="N33" sqref="N33"/>
    </sheetView>
  </sheetViews>
  <sheetFormatPr baseColWidth="10" defaultRowHeight="14" x14ac:dyDescent="0.35"/>
  <cols>
    <col min="1" max="1" width="10.90625" style="35"/>
    <col min="2" max="2" width="13.1796875" style="35" bestFit="1" customWidth="1"/>
    <col min="3" max="3" width="22.6328125" style="35" bestFit="1" customWidth="1"/>
    <col min="4" max="8" width="15.6328125" style="35" customWidth="1"/>
    <col min="9" max="9" width="11" style="35" bestFit="1" customWidth="1"/>
    <col min="10" max="10" width="12.26953125" style="35" bestFit="1" customWidth="1"/>
    <col min="11" max="12" width="11.6328125" style="35" bestFit="1" customWidth="1"/>
    <col min="13" max="13" width="11" style="35" bestFit="1" customWidth="1"/>
    <col min="14" max="14" width="16.26953125" style="35" bestFit="1" customWidth="1"/>
    <col min="15" max="15" width="3.26953125" style="35" customWidth="1"/>
    <col min="16" max="16" width="16" style="35" bestFit="1" customWidth="1"/>
    <col min="17" max="18" width="10.90625" style="35"/>
    <col min="19" max="19" width="11" style="35" bestFit="1" customWidth="1"/>
    <col min="20" max="16384" width="10.90625" style="35"/>
  </cols>
  <sheetData>
    <row r="1" spans="2:17" ht="14.5" thickBot="1" x14ac:dyDescent="0.4"/>
    <row r="2" spans="2:17" ht="14.5" thickBot="1" x14ac:dyDescent="0.4">
      <c r="B2" s="168" t="s">
        <v>40</v>
      </c>
      <c r="C2" s="169"/>
      <c r="D2" s="174" t="s">
        <v>1</v>
      </c>
      <c r="E2" s="175"/>
      <c r="F2" s="175"/>
      <c r="G2" s="175"/>
      <c r="H2" s="180"/>
    </row>
    <row r="3" spans="2:17" ht="14.5" thickBot="1" x14ac:dyDescent="0.4">
      <c r="B3" s="170"/>
      <c r="C3" s="171"/>
      <c r="D3" s="12" t="s">
        <v>2</v>
      </c>
      <c r="E3" s="12" t="s">
        <v>6</v>
      </c>
      <c r="F3" s="12" t="s">
        <v>3</v>
      </c>
      <c r="G3" s="12" t="s">
        <v>5</v>
      </c>
      <c r="H3" s="12" t="s">
        <v>4</v>
      </c>
    </row>
    <row r="4" spans="2:17" ht="56.5" thickBot="1" x14ac:dyDescent="0.4">
      <c r="B4" s="172"/>
      <c r="C4" s="173"/>
      <c r="D4" s="14" t="s">
        <v>33</v>
      </c>
      <c r="E4" s="14" t="s">
        <v>34</v>
      </c>
      <c r="F4" s="14" t="s">
        <v>35</v>
      </c>
      <c r="G4" s="14" t="s">
        <v>36</v>
      </c>
      <c r="H4" s="14" t="s">
        <v>37</v>
      </c>
    </row>
    <row r="5" spans="2:17" ht="14.5" thickBot="1" x14ac:dyDescent="0.4">
      <c r="B5" s="181" t="s">
        <v>0</v>
      </c>
      <c r="C5" s="41" t="s">
        <v>22</v>
      </c>
      <c r="D5" s="4"/>
      <c r="E5" s="5"/>
      <c r="F5" s="5"/>
      <c r="G5" s="5"/>
      <c r="H5" s="6"/>
    </row>
    <row r="6" spans="2:17" ht="14.5" thickBot="1" x14ac:dyDescent="0.4">
      <c r="B6" s="182"/>
      <c r="C6" s="41" t="s">
        <v>29</v>
      </c>
      <c r="D6" s="32"/>
      <c r="E6" s="13"/>
      <c r="F6" s="13"/>
      <c r="G6" s="13"/>
      <c r="H6" s="33"/>
    </row>
    <row r="7" spans="2:17" ht="14.5" thickBot="1" x14ac:dyDescent="0.4">
      <c r="B7" s="182"/>
      <c r="C7" s="35" t="s">
        <v>18</v>
      </c>
      <c r="D7" s="32"/>
      <c r="E7" s="13"/>
      <c r="F7" s="13"/>
      <c r="G7" s="13"/>
      <c r="H7" s="33"/>
    </row>
    <row r="8" spans="2:17" ht="14.5" thickBot="1" x14ac:dyDescent="0.4">
      <c r="B8" s="182"/>
      <c r="C8" s="42" t="s">
        <v>24</v>
      </c>
      <c r="D8" s="32"/>
      <c r="E8" s="13"/>
      <c r="F8" s="13"/>
      <c r="G8" s="13"/>
      <c r="H8" s="33"/>
    </row>
    <row r="9" spans="2:17" ht="14.5" thickBot="1" x14ac:dyDescent="0.4">
      <c r="B9" s="182"/>
      <c r="C9" s="42" t="s">
        <v>31</v>
      </c>
      <c r="D9" s="32"/>
      <c r="E9" s="13"/>
      <c r="F9" s="13"/>
      <c r="G9" s="13"/>
      <c r="H9" s="33"/>
    </row>
    <row r="10" spans="2:17" ht="14.5" thickBot="1" x14ac:dyDescent="0.4">
      <c r="B10" s="182"/>
      <c r="C10" s="41" t="s">
        <v>25</v>
      </c>
      <c r="D10" s="32"/>
      <c r="E10" s="13"/>
      <c r="F10" s="13"/>
      <c r="G10" s="13"/>
      <c r="H10" s="33"/>
    </row>
    <row r="11" spans="2:17" ht="14.5" thickBot="1" x14ac:dyDescent="0.4">
      <c r="B11" s="182"/>
      <c r="C11" s="41" t="s">
        <v>27</v>
      </c>
      <c r="D11" s="32"/>
      <c r="E11" s="13"/>
      <c r="F11" s="13"/>
      <c r="G11" s="13"/>
      <c r="H11" s="33"/>
    </row>
    <row r="12" spans="2:17" ht="14.5" thickBot="1" x14ac:dyDescent="0.4">
      <c r="B12" s="182"/>
      <c r="C12" s="42" t="s">
        <v>20</v>
      </c>
      <c r="D12" s="32"/>
      <c r="E12" s="13"/>
      <c r="F12" s="13"/>
      <c r="G12" s="13"/>
      <c r="H12" s="33"/>
    </row>
    <row r="13" spans="2:17" ht="15" thickBot="1" x14ac:dyDescent="0.4">
      <c r="B13" s="182"/>
      <c r="C13" s="41" t="s">
        <v>19</v>
      </c>
      <c r="D13" s="32"/>
      <c r="E13" s="13"/>
      <c r="F13" s="13"/>
      <c r="G13" s="13"/>
      <c r="H13" s="33"/>
      <c r="I13" s="1"/>
      <c r="J13" s="14" t="s">
        <v>43</v>
      </c>
      <c r="K13" s="12" t="s">
        <v>41</v>
      </c>
      <c r="L13" s="12" t="s">
        <v>45</v>
      </c>
      <c r="M13" s="12" t="s">
        <v>44</v>
      </c>
      <c r="N13" s="12" t="s">
        <v>46</v>
      </c>
      <c r="O13" s="1"/>
      <c r="P13" s="12" t="s">
        <v>42</v>
      </c>
      <c r="Q13" s="39">
        <f>(L14-M14)/(M14-1)</f>
        <v>0</v>
      </c>
    </row>
    <row r="14" spans="2:17" ht="14.5" customHeight="1" thickBot="1" x14ac:dyDescent="0.4">
      <c r="B14" s="182"/>
      <c r="C14" s="42" t="s">
        <v>32</v>
      </c>
      <c r="D14" s="32"/>
      <c r="E14" s="13"/>
      <c r="F14" s="13"/>
      <c r="G14" s="13"/>
      <c r="H14" s="33"/>
      <c r="I14" s="1"/>
      <c r="J14" s="96">
        <f>SUMPRODUCT(D24:H24,$D$49:$H$49)</f>
        <v>1</v>
      </c>
      <c r="K14" s="97">
        <f>J14/N24</f>
        <v>5</v>
      </c>
      <c r="L14" s="98">
        <f>AVERAGE(K14:K18)</f>
        <v>5</v>
      </c>
      <c r="M14" s="98">
        <v>5</v>
      </c>
      <c r="N14" s="97">
        <v>1.1200000000000001</v>
      </c>
      <c r="P14" s="92" t="s">
        <v>10</v>
      </c>
      <c r="Q14" s="34">
        <f>Q13/N14</f>
        <v>0</v>
      </c>
    </row>
    <row r="15" spans="2:17" ht="15" customHeight="1" thickBot="1" x14ac:dyDescent="0.4">
      <c r="B15" s="182"/>
      <c r="C15" s="42" t="s">
        <v>26</v>
      </c>
      <c r="D15" s="32"/>
      <c r="E15" s="13"/>
      <c r="F15" s="13"/>
      <c r="G15" s="13"/>
      <c r="H15" s="33"/>
      <c r="I15" s="1"/>
      <c r="J15" s="96">
        <f t="shared" ref="J15:J18" si="0">SUMPRODUCT(D25:H25,$D$49:$H$49)</f>
        <v>1</v>
      </c>
      <c r="K15" s="97">
        <f t="shared" ref="K15:K18" si="1">J15/N25</f>
        <v>5</v>
      </c>
    </row>
    <row r="16" spans="2:17" ht="15" customHeight="1" thickBot="1" x14ac:dyDescent="0.4">
      <c r="B16" s="182"/>
      <c r="C16" s="41" t="s">
        <v>30</v>
      </c>
      <c r="D16" s="7"/>
      <c r="E16" s="2"/>
      <c r="F16" s="2"/>
      <c r="G16" s="2"/>
      <c r="H16" s="8"/>
      <c r="I16" s="1"/>
      <c r="J16" s="96">
        <f t="shared" si="0"/>
        <v>1</v>
      </c>
      <c r="K16" s="97">
        <f t="shared" si="1"/>
        <v>5</v>
      </c>
      <c r="L16" s="90"/>
      <c r="M16" s="90"/>
      <c r="N16" s="90"/>
      <c r="P16" s="1"/>
    </row>
    <row r="17" spans="2:17" ht="14.5" thickBot="1" x14ac:dyDescent="0.4">
      <c r="B17" s="182"/>
      <c r="C17" s="42" t="s">
        <v>28</v>
      </c>
      <c r="D17" s="7"/>
      <c r="E17" s="2"/>
      <c r="F17" s="2"/>
      <c r="G17" s="2"/>
      <c r="H17" s="8"/>
      <c r="I17" s="1"/>
      <c r="J17" s="96">
        <f t="shared" si="0"/>
        <v>1</v>
      </c>
      <c r="K17" s="97">
        <f t="shared" si="1"/>
        <v>5</v>
      </c>
      <c r="L17" s="90"/>
      <c r="M17" s="90"/>
      <c r="N17" s="90"/>
      <c r="O17" s="1"/>
      <c r="P17" s="1"/>
    </row>
    <row r="18" spans="2:17" ht="14.5" thickBot="1" x14ac:dyDescent="0.4">
      <c r="B18" s="182"/>
      <c r="C18" s="42" t="s">
        <v>23</v>
      </c>
      <c r="D18" s="7"/>
      <c r="E18" s="2"/>
      <c r="F18" s="2"/>
      <c r="G18" s="2"/>
      <c r="H18" s="8"/>
      <c r="I18" s="1"/>
      <c r="J18" s="97">
        <f t="shared" si="0"/>
        <v>1</v>
      </c>
      <c r="K18" s="97">
        <f t="shared" si="1"/>
        <v>5</v>
      </c>
      <c r="L18" s="90"/>
      <c r="M18" s="90"/>
      <c r="N18" s="90"/>
      <c r="O18" s="1"/>
    </row>
    <row r="19" spans="2:17" ht="14.5" thickBot="1" x14ac:dyDescent="0.4">
      <c r="B19" s="177"/>
      <c r="C19" s="41" t="s">
        <v>21</v>
      </c>
      <c r="D19" s="9"/>
      <c r="E19" s="10"/>
      <c r="F19" s="10"/>
      <c r="G19" s="10"/>
      <c r="H19" s="11"/>
      <c r="I19" s="1"/>
      <c r="K19" s="90"/>
      <c r="L19" s="90"/>
      <c r="M19" s="90"/>
      <c r="N19" s="1"/>
      <c r="O19" s="1"/>
    </row>
    <row r="21" spans="2:17" ht="14.5" thickBot="1" x14ac:dyDescent="0.4">
      <c r="P21" s="1"/>
    </row>
    <row r="22" spans="2:17" ht="15" customHeight="1" thickBot="1" x14ac:dyDescent="0.4">
      <c r="B22" s="1"/>
      <c r="C22" s="165" t="s">
        <v>38</v>
      </c>
      <c r="D22" s="166"/>
      <c r="E22" s="166"/>
      <c r="F22" s="166"/>
      <c r="G22" s="166"/>
      <c r="H22" s="167"/>
      <c r="I22" s="1"/>
      <c r="J22" s="1"/>
      <c r="K22" s="1"/>
      <c r="L22" s="1"/>
      <c r="M22" s="1"/>
      <c r="N22" s="1"/>
      <c r="O22" s="1"/>
      <c r="P22" s="1"/>
    </row>
    <row r="23" spans="2:17" ht="14.5" thickBot="1" x14ac:dyDescent="0.4">
      <c r="B23" s="1"/>
      <c r="C23" s="12" t="s">
        <v>1</v>
      </c>
      <c r="D23" s="12" t="s">
        <v>2</v>
      </c>
      <c r="E23" s="12" t="s">
        <v>6</v>
      </c>
      <c r="F23" s="12" t="s">
        <v>3</v>
      </c>
      <c r="G23" s="12" t="s">
        <v>5</v>
      </c>
      <c r="H23" s="12" t="s">
        <v>4</v>
      </c>
      <c r="I23" s="174" t="s">
        <v>8</v>
      </c>
      <c r="J23" s="175"/>
      <c r="K23" s="175"/>
      <c r="L23" s="175"/>
      <c r="M23" s="180"/>
      <c r="N23" s="12" t="s">
        <v>9</v>
      </c>
      <c r="O23" s="1"/>
      <c r="P23" s="1"/>
    </row>
    <row r="24" spans="2:17" ht="14.5" thickBot="1" x14ac:dyDescent="0.4">
      <c r="B24" s="1"/>
      <c r="C24" s="12" t="s">
        <v>2</v>
      </c>
      <c r="D24" s="19">
        <v>1</v>
      </c>
      <c r="E24" s="20">
        <v>1</v>
      </c>
      <c r="F24" s="20">
        <v>1</v>
      </c>
      <c r="G24" s="20">
        <v>1</v>
      </c>
      <c r="H24" s="73">
        <v>1</v>
      </c>
      <c r="I24" s="19">
        <f>D24/D$29</f>
        <v>0.2</v>
      </c>
      <c r="J24" s="20">
        <f t="shared" ref="J24:M24" si="2">E24/E$29</f>
        <v>0.2</v>
      </c>
      <c r="K24" s="20">
        <f t="shared" si="2"/>
        <v>0.2</v>
      </c>
      <c r="L24" s="20">
        <f t="shared" si="2"/>
        <v>0.2</v>
      </c>
      <c r="M24" s="15">
        <f t="shared" si="2"/>
        <v>0.2</v>
      </c>
      <c r="N24" s="93">
        <f>AVERAGE(I24:M24)</f>
        <v>0.2</v>
      </c>
      <c r="O24" s="91"/>
      <c r="P24" s="1"/>
    </row>
    <row r="25" spans="2:17" ht="14.5" thickBot="1" x14ac:dyDescent="0.4">
      <c r="B25" s="1"/>
      <c r="C25" s="12" t="s">
        <v>6</v>
      </c>
      <c r="D25" s="21">
        <f>1/E24</f>
        <v>1</v>
      </c>
      <c r="E25" s="3">
        <v>1</v>
      </c>
      <c r="F25" s="3">
        <v>1</v>
      </c>
      <c r="G25" s="3">
        <v>1</v>
      </c>
      <c r="H25" s="73">
        <v>1</v>
      </c>
      <c r="I25" s="21">
        <f t="shared" ref="I25:I28" si="3">D25/D$29</f>
        <v>0.2</v>
      </c>
      <c r="J25" s="3">
        <f t="shared" ref="J25:J28" si="4">E25/E$29</f>
        <v>0.2</v>
      </c>
      <c r="K25" s="3">
        <f t="shared" ref="K25:K28" si="5">F25/F$29</f>
        <v>0.2</v>
      </c>
      <c r="L25" s="3">
        <f t="shared" ref="L25:L28" si="6">G25/G$29</f>
        <v>0.2</v>
      </c>
      <c r="M25" s="16">
        <f t="shared" ref="M25:M28" si="7">H25/H$29</f>
        <v>0.2</v>
      </c>
      <c r="N25" s="94">
        <f t="shared" ref="N25:N28" si="8">AVERAGE(I25:M25)</f>
        <v>0.2</v>
      </c>
      <c r="O25" s="91"/>
      <c r="P25" s="1"/>
    </row>
    <row r="26" spans="2:17" ht="14.5" thickBot="1" x14ac:dyDescent="0.4">
      <c r="B26" s="1"/>
      <c r="C26" s="12" t="s">
        <v>3</v>
      </c>
      <c r="D26" s="21">
        <f>1/F24</f>
        <v>1</v>
      </c>
      <c r="E26" s="3">
        <f>1/F25</f>
        <v>1</v>
      </c>
      <c r="F26" s="3">
        <v>1</v>
      </c>
      <c r="G26" s="3">
        <v>1</v>
      </c>
      <c r="H26" s="73">
        <v>1</v>
      </c>
      <c r="I26" s="21">
        <f t="shared" si="3"/>
        <v>0.2</v>
      </c>
      <c r="J26" s="3">
        <f t="shared" si="4"/>
        <v>0.2</v>
      </c>
      <c r="K26" s="3">
        <f t="shared" si="5"/>
        <v>0.2</v>
      </c>
      <c r="L26" s="3">
        <f t="shared" si="6"/>
        <v>0.2</v>
      </c>
      <c r="M26" s="16">
        <f t="shared" si="7"/>
        <v>0.2</v>
      </c>
      <c r="N26" s="94">
        <f t="shared" si="8"/>
        <v>0.2</v>
      </c>
      <c r="O26" s="91"/>
      <c r="P26" s="1"/>
    </row>
    <row r="27" spans="2:17" ht="14.5" thickBot="1" x14ac:dyDescent="0.4">
      <c r="B27" s="1"/>
      <c r="C27" s="12" t="s">
        <v>5</v>
      </c>
      <c r="D27" s="21">
        <f>1/G24</f>
        <v>1</v>
      </c>
      <c r="E27" s="3">
        <f>1/G25</f>
        <v>1</v>
      </c>
      <c r="F27" s="3">
        <f>1/G26</f>
        <v>1</v>
      </c>
      <c r="G27" s="3">
        <v>1</v>
      </c>
      <c r="H27" s="73">
        <v>1</v>
      </c>
      <c r="I27" s="21">
        <f t="shared" si="3"/>
        <v>0.2</v>
      </c>
      <c r="J27" s="3">
        <f t="shared" si="4"/>
        <v>0.2</v>
      </c>
      <c r="K27" s="3">
        <f t="shared" si="5"/>
        <v>0.2</v>
      </c>
      <c r="L27" s="3">
        <f t="shared" si="6"/>
        <v>0.2</v>
      </c>
      <c r="M27" s="16">
        <f t="shared" si="7"/>
        <v>0.2</v>
      </c>
      <c r="N27" s="94">
        <f t="shared" si="8"/>
        <v>0.2</v>
      </c>
      <c r="O27" s="91"/>
      <c r="P27" s="1"/>
    </row>
    <row r="28" spans="2:17" ht="14.5" thickBot="1" x14ac:dyDescent="0.4">
      <c r="B28" s="1"/>
      <c r="C28" s="12" t="s">
        <v>4</v>
      </c>
      <c r="D28" s="22">
        <f>1/H24</f>
        <v>1</v>
      </c>
      <c r="E28" s="18">
        <f>1/H25</f>
        <v>1</v>
      </c>
      <c r="F28" s="18">
        <f>1/H26</f>
        <v>1</v>
      </c>
      <c r="G28" s="18">
        <f>1/H27</f>
        <v>1</v>
      </c>
      <c r="H28" s="74">
        <v>1</v>
      </c>
      <c r="I28" s="22">
        <f t="shared" si="3"/>
        <v>0.2</v>
      </c>
      <c r="J28" s="18">
        <f t="shared" si="4"/>
        <v>0.2</v>
      </c>
      <c r="K28" s="18">
        <f t="shared" si="5"/>
        <v>0.2</v>
      </c>
      <c r="L28" s="18">
        <f t="shared" si="6"/>
        <v>0.2</v>
      </c>
      <c r="M28" s="17">
        <f t="shared" si="7"/>
        <v>0.2</v>
      </c>
      <c r="N28" s="95">
        <f t="shared" si="8"/>
        <v>0.2</v>
      </c>
      <c r="O28" s="91"/>
      <c r="P28" s="1"/>
    </row>
    <row r="29" spans="2:17" ht="14.5" thickBot="1" x14ac:dyDescent="0.4">
      <c r="B29" s="1"/>
      <c r="C29" s="23" t="s">
        <v>7</v>
      </c>
      <c r="D29" s="40">
        <f>SUM(D24:D28)</f>
        <v>5</v>
      </c>
      <c r="E29" s="40">
        <f t="shared" ref="E29:H29" si="9">SUM(E24:E28)</f>
        <v>5</v>
      </c>
      <c r="F29" s="40">
        <f t="shared" si="9"/>
        <v>5</v>
      </c>
      <c r="G29" s="40">
        <f t="shared" si="9"/>
        <v>5</v>
      </c>
      <c r="H29" s="40">
        <f t="shared" si="9"/>
        <v>5</v>
      </c>
      <c r="I29" s="1"/>
      <c r="J29" s="1"/>
      <c r="K29" s="1"/>
      <c r="L29" s="1"/>
      <c r="M29" s="1"/>
      <c r="N29" s="1"/>
      <c r="O29" s="1"/>
      <c r="P29" s="1"/>
    </row>
    <row r="30" spans="2:17" x14ac:dyDescent="0.35">
      <c r="B30" s="1"/>
      <c r="C30" s="1"/>
      <c r="D30" s="24"/>
      <c r="E30" s="24"/>
      <c r="F30" s="24"/>
      <c r="G30" s="24"/>
      <c r="H30" s="24"/>
      <c r="I30" s="1"/>
      <c r="J30" s="1"/>
      <c r="K30" s="1"/>
      <c r="L30" s="1"/>
      <c r="M30" s="1"/>
      <c r="N30" s="1"/>
      <c r="O30" s="1"/>
      <c r="P30" s="1"/>
    </row>
    <row r="31" spans="2:17" ht="14.5" thickBot="1" x14ac:dyDescent="0.4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7" ht="15" thickBot="1" x14ac:dyDescent="0.4">
      <c r="B32" s="168" t="s">
        <v>39</v>
      </c>
      <c r="C32" s="169"/>
      <c r="D32" s="174" t="s">
        <v>1</v>
      </c>
      <c r="E32" s="175"/>
      <c r="F32" s="175"/>
      <c r="G32" s="175"/>
      <c r="H32" s="176"/>
      <c r="I32" s="178" t="s">
        <v>16</v>
      </c>
      <c r="P32" s="66"/>
      <c r="Q32" s="66"/>
    </row>
    <row r="33" spans="2:17" ht="15" thickBot="1" x14ac:dyDescent="0.4">
      <c r="B33" s="172"/>
      <c r="C33" s="173"/>
      <c r="D33" s="14" t="s">
        <v>2</v>
      </c>
      <c r="E33" s="14" t="s">
        <v>6</v>
      </c>
      <c r="F33" s="14" t="s">
        <v>3</v>
      </c>
      <c r="G33" s="14" t="s">
        <v>5</v>
      </c>
      <c r="H33" s="14" t="s">
        <v>4</v>
      </c>
      <c r="I33" s="179"/>
      <c r="K33" s="66"/>
      <c r="L33" s="66"/>
      <c r="M33" s="66"/>
      <c r="N33" s="66"/>
      <c r="O33" s="66"/>
      <c r="P33" s="66"/>
      <c r="Q33" s="66"/>
    </row>
    <row r="34" spans="2:17" ht="15" thickBot="1" x14ac:dyDescent="0.4">
      <c r="B34" s="168" t="s">
        <v>0</v>
      </c>
      <c r="C34" s="51" t="s">
        <v>22</v>
      </c>
      <c r="D34" s="36">
        <f>'C. Téc.'!AG4</f>
        <v>1.4769210546563154E-2</v>
      </c>
      <c r="E34" s="28">
        <f>'C. Eco.'!AG4</f>
        <v>6.9091048926309559E-2</v>
      </c>
      <c r="F34" s="28">
        <f>'C. So.'!AG4</f>
        <v>7.3225327768646417E-2</v>
      </c>
      <c r="G34" s="28">
        <f>'C. Am.'!AG4</f>
        <v>6.006903280076397E-2</v>
      </c>
      <c r="H34" s="29">
        <f>'C. Com.'!AG4</f>
        <v>5.1403339736398657E-2</v>
      </c>
      <c r="I34" s="88">
        <f>SUMPRODUCT(D34:H34,$D$49:$H$49)</f>
        <v>5.3711591955736354E-2</v>
      </c>
      <c r="K34" s="66"/>
      <c r="L34" s="66"/>
      <c r="M34" s="66"/>
      <c r="N34" s="66"/>
      <c r="O34" s="66"/>
    </row>
    <row r="35" spans="2:17" ht="15" thickBot="1" x14ac:dyDescent="0.4">
      <c r="B35" s="170"/>
      <c r="C35" s="52" t="s">
        <v>29</v>
      </c>
      <c r="D35" s="56">
        <f>'C. Téc.'!AG5</f>
        <v>0.1074557206452805</v>
      </c>
      <c r="E35" s="26">
        <f>'C. Eco.'!AG5</f>
        <v>6.9091048926309559E-2</v>
      </c>
      <c r="F35" s="26">
        <f>'C. So.'!AG5</f>
        <v>2.9475881401176358E-2</v>
      </c>
      <c r="G35" s="26">
        <f>'C. Am.'!AG5</f>
        <v>6.006903280076397E-2</v>
      </c>
      <c r="H35" s="27">
        <f>'C. Com.'!AG5</f>
        <v>1.4060845917915376E-2</v>
      </c>
      <c r="I35" s="88">
        <f t="shared" ref="I35:I48" si="10">SUMPRODUCT(D35:H35,$D$49:$H$49)</f>
        <v>5.6030505938289156E-2</v>
      </c>
      <c r="K35" s="61"/>
    </row>
    <row r="36" spans="2:17" ht="15" thickBot="1" x14ac:dyDescent="0.4">
      <c r="B36" s="170"/>
      <c r="C36" s="53" t="s">
        <v>18</v>
      </c>
      <c r="D36" s="56">
        <f>'C. Téc.'!AG6</f>
        <v>1.4769210546563154E-2</v>
      </c>
      <c r="E36" s="26">
        <f>'C. Eco.'!AG6</f>
        <v>0.14315541663403128</v>
      </c>
      <c r="F36" s="26">
        <f>'C. So.'!AG6</f>
        <v>3.5035940640752862E-2</v>
      </c>
      <c r="G36" s="26">
        <f>'C. Am.'!AG6</f>
        <v>2.945393924558988E-2</v>
      </c>
      <c r="H36" s="27">
        <f>'C. Com.'!AG6</f>
        <v>5.1403339736398657E-2</v>
      </c>
      <c r="I36" s="88">
        <f t="shared" si="10"/>
        <v>5.4763569360667175E-2</v>
      </c>
      <c r="K36" s="61"/>
    </row>
    <row r="37" spans="2:17" ht="15" thickBot="1" x14ac:dyDescent="0.4">
      <c r="B37" s="170"/>
      <c r="C37" s="54" t="s">
        <v>24</v>
      </c>
      <c r="D37" s="56">
        <f>'C. Téc.'!AG7</f>
        <v>0.1074557206452805</v>
      </c>
      <c r="E37" s="26">
        <f>'C. Eco.'!AG7</f>
        <v>6.9091048926309559E-2</v>
      </c>
      <c r="F37" s="26">
        <f>'C. So.'!AG7</f>
        <v>7.3225327768646417E-2</v>
      </c>
      <c r="G37" s="26">
        <f>'C. Am.'!AG7</f>
        <v>2.945393924558988E-2</v>
      </c>
      <c r="H37" s="27">
        <f>'C. Com.'!AG7</f>
        <v>0.15676938866399531</v>
      </c>
      <c r="I37" s="88">
        <f t="shared" si="10"/>
        <v>8.7199085049964348E-2</v>
      </c>
      <c r="K37" s="61"/>
    </row>
    <row r="38" spans="2:17" ht="15" thickBot="1" x14ac:dyDescent="0.4">
      <c r="B38" s="170"/>
      <c r="C38" s="54" t="s">
        <v>31</v>
      </c>
      <c r="D38" s="56">
        <f>'C. Téc.'!AG8</f>
        <v>0.1074557206452805</v>
      </c>
      <c r="E38" s="26">
        <f>'C. Eco.'!AG8</f>
        <v>0.14315541663403128</v>
      </c>
      <c r="F38" s="26">
        <f>'C. So.'!AG8</f>
        <v>1.0979828570719609E-2</v>
      </c>
      <c r="G38" s="26">
        <f>'C. Am.'!AG8</f>
        <v>1.2237223970821044E-2</v>
      </c>
      <c r="H38" s="27">
        <f>'C. Com.'!AG8</f>
        <v>1.4060845917915376E-2</v>
      </c>
      <c r="I38" s="88">
        <f t="shared" si="10"/>
        <v>5.7577807147753561E-2</v>
      </c>
      <c r="K38" s="61"/>
    </row>
    <row r="39" spans="2:17" ht="15" thickBot="1" x14ac:dyDescent="0.4">
      <c r="B39" s="170"/>
      <c r="C39" s="52" t="s">
        <v>25</v>
      </c>
      <c r="D39" s="56">
        <f>'C. Téc.'!AG9</f>
        <v>0.1074557206452805</v>
      </c>
      <c r="E39" s="26">
        <f>'C. Eco.'!AG9</f>
        <v>0.14315541663403128</v>
      </c>
      <c r="F39" s="26">
        <f>'C. So.'!AG9</f>
        <v>1.0979828570719609E-2</v>
      </c>
      <c r="G39" s="26">
        <f>'C. Am.'!AG9</f>
        <v>2.945393924558988E-2</v>
      </c>
      <c r="H39" s="27">
        <f>'C. Com.'!AG9</f>
        <v>1.4060845917915376E-2</v>
      </c>
      <c r="I39" s="88">
        <f t="shared" si="10"/>
        <v>6.1021150202707333E-2</v>
      </c>
      <c r="K39" s="61"/>
    </row>
    <row r="40" spans="2:17" ht="14.5" thickBot="1" x14ac:dyDescent="0.4">
      <c r="B40" s="170"/>
      <c r="C40" s="52" t="s">
        <v>27</v>
      </c>
      <c r="D40" s="56">
        <f>'C. Téc.'!AG10</f>
        <v>0.1074557206452805</v>
      </c>
      <c r="E40" s="26">
        <f>'C. Eco.'!AG10</f>
        <v>1.527907445699217E-2</v>
      </c>
      <c r="F40" s="26">
        <f>'C. So.'!AG10</f>
        <v>8.741355190802462E-2</v>
      </c>
      <c r="G40" s="26">
        <f>'C. Am.'!AG10</f>
        <v>0.13930815776641098</v>
      </c>
      <c r="H40" s="27">
        <f>'C. Com.'!AG10</f>
        <v>9.1559240030821165E-2</v>
      </c>
      <c r="I40" s="88">
        <f>SUMPRODUCT(D40:H40,$D$49:$H$49)</f>
        <v>8.8203148961505884E-2</v>
      </c>
    </row>
    <row r="41" spans="2:17" ht="14.5" thickBot="1" x14ac:dyDescent="0.4">
      <c r="B41" s="170"/>
      <c r="C41" s="54" t="s">
        <v>20</v>
      </c>
      <c r="D41" s="56">
        <f>'C. Téc.'!AG11</f>
        <v>1.4769210546563154E-2</v>
      </c>
      <c r="E41" s="26">
        <f>'C. Eco.'!AG11</f>
        <v>1.527907445699217E-2</v>
      </c>
      <c r="F41" s="26">
        <f>'C. So.'!AG11</f>
        <v>6.5189304509001414E-2</v>
      </c>
      <c r="G41" s="26">
        <f>'C. Am.'!AG11</f>
        <v>2.945393924558988E-2</v>
      </c>
      <c r="H41" s="27">
        <f>'C. Com.'!AG11</f>
        <v>1.4060845917915376E-2</v>
      </c>
      <c r="I41" s="88">
        <f t="shared" si="10"/>
        <v>2.7750474935212401E-2</v>
      </c>
    </row>
    <row r="42" spans="2:17" ht="14.5" thickBot="1" x14ac:dyDescent="0.4">
      <c r="B42" s="170"/>
      <c r="C42" s="52" t="s">
        <v>19</v>
      </c>
      <c r="D42" s="56">
        <f>'C. Téc.'!AG12</f>
        <v>1.4769210546563154E-2</v>
      </c>
      <c r="E42" s="26">
        <f>'C. Eco.'!AG12</f>
        <v>6.9091048926309559E-2</v>
      </c>
      <c r="F42" s="26">
        <f>'C. So.'!AG12</f>
        <v>0.11766824508672638</v>
      </c>
      <c r="G42" s="26">
        <f>'C. Am.'!AG12</f>
        <v>6.006903280076397E-2</v>
      </c>
      <c r="H42" s="27">
        <f>'C. Com.'!AG12</f>
        <v>5.1403339736398657E-2</v>
      </c>
      <c r="I42" s="88">
        <f t="shared" si="10"/>
        <v>6.2600175419352339E-2</v>
      </c>
    </row>
    <row r="43" spans="2:17" ht="14.5" thickBot="1" x14ac:dyDescent="0.4">
      <c r="B43" s="170"/>
      <c r="C43" s="54" t="s">
        <v>32</v>
      </c>
      <c r="D43" s="56">
        <f>'C. Téc.'!AG13</f>
        <v>5.1738971558377096E-2</v>
      </c>
      <c r="E43" s="26">
        <f>'C. Eco.'!AG13</f>
        <v>7.0623615976117993E-2</v>
      </c>
      <c r="F43" s="26">
        <f>'C. So.'!AG13</f>
        <v>0.1411691363523235</v>
      </c>
      <c r="G43" s="26">
        <f>'C. Am.'!AG13</f>
        <v>0.13930815776641098</v>
      </c>
      <c r="H43" s="27">
        <f>'C. Com.'!AG13</f>
        <v>0.15676938866399531</v>
      </c>
      <c r="I43" s="88">
        <f t="shared" si="10"/>
        <v>0.11192185406344499</v>
      </c>
    </row>
    <row r="44" spans="2:17" ht="14.5" thickBot="1" x14ac:dyDescent="0.4">
      <c r="B44" s="170"/>
      <c r="C44" s="54" t="s">
        <v>26</v>
      </c>
      <c r="D44" s="56">
        <f>'C. Téc.'!AG14</f>
        <v>0.1074557206452805</v>
      </c>
      <c r="E44" s="26">
        <f>'C. Eco.'!AG14</f>
        <v>9.399652790572784E-3</v>
      </c>
      <c r="F44" s="26">
        <f>'C. So.'!AG14</f>
        <v>0.10000262994477054</v>
      </c>
      <c r="G44" s="26">
        <f>'C. Am.'!AG14</f>
        <v>0.13930815776641098</v>
      </c>
      <c r="H44" s="27">
        <f>'C. Com.'!AG14</f>
        <v>0.21617771463321953</v>
      </c>
      <c r="I44" s="88">
        <f t="shared" si="10"/>
        <v>0.11446877515605086</v>
      </c>
    </row>
    <row r="45" spans="2:17" ht="14.5" thickBot="1" x14ac:dyDescent="0.4">
      <c r="B45" s="170"/>
      <c r="C45" s="52" t="s">
        <v>30</v>
      </c>
      <c r="D45" s="56">
        <f>'C. Téc.'!AG15</f>
        <v>0.1074557206452805</v>
      </c>
      <c r="E45" s="26">
        <f>'C. Eco.'!AG15</f>
        <v>0.14315541663403128</v>
      </c>
      <c r="F45" s="26">
        <f>'C. So.'!AG15</f>
        <v>1.0232442917826342E-2</v>
      </c>
      <c r="G45" s="26">
        <f>'C. Am.'!AG15</f>
        <v>1.2237223970821044E-2</v>
      </c>
      <c r="H45" s="27">
        <f>'C. Com.'!AG15</f>
        <v>1.4060845917915376E-2</v>
      </c>
      <c r="I45" s="88">
        <f t="shared" si="10"/>
        <v>5.7428330017174914E-2</v>
      </c>
    </row>
    <row r="46" spans="2:17" ht="14.5" thickBot="1" x14ac:dyDescent="0.4">
      <c r="B46" s="170"/>
      <c r="C46" s="54" t="s">
        <v>28</v>
      </c>
      <c r="D46" s="56">
        <f>'C. Téc.'!AG16</f>
        <v>0.1074557206452805</v>
      </c>
      <c r="E46" s="26">
        <f>'C. Eco.'!AG16</f>
        <v>9.8745711639773529E-3</v>
      </c>
      <c r="F46" s="26">
        <f>'C. So.'!AG16</f>
        <v>7.8277655448184505E-2</v>
      </c>
      <c r="G46" s="26">
        <f>'C. Am.'!AG16</f>
        <v>6.006903280076397E-2</v>
      </c>
      <c r="H46" s="27">
        <f>'C. Com.'!AG16</f>
        <v>5.1403339736398657E-2</v>
      </c>
      <c r="I46" s="88">
        <f t="shared" si="10"/>
        <v>6.1416063958921005E-2</v>
      </c>
    </row>
    <row r="47" spans="2:17" ht="14.5" thickBot="1" x14ac:dyDescent="0.4">
      <c r="B47" s="170"/>
      <c r="C47" s="54" t="s">
        <v>23</v>
      </c>
      <c r="D47" s="56">
        <f>'C. Téc.'!AG17</f>
        <v>1.4769210546563154E-2</v>
      </c>
      <c r="E47" s="26">
        <f>'C. Eco.'!AG17</f>
        <v>1.527907445699217E-2</v>
      </c>
      <c r="F47" s="26">
        <f>'C. So.'!AG17</f>
        <v>8.8847243664297026E-2</v>
      </c>
      <c r="G47" s="26">
        <f>'C. Am.'!AG17</f>
        <v>0.13930815776641098</v>
      </c>
      <c r="H47" s="27">
        <f>'C. Com.'!AG17</f>
        <v>5.1403339736398657E-2</v>
      </c>
      <c r="I47" s="88">
        <f t="shared" si="10"/>
        <v>6.19214052341324E-2</v>
      </c>
    </row>
    <row r="48" spans="2:17" ht="14.5" thickBot="1" x14ac:dyDescent="0.4">
      <c r="B48" s="170"/>
      <c r="C48" s="55" t="s">
        <v>21</v>
      </c>
      <c r="D48" s="57">
        <f>'C. Téc.'!AG18</f>
        <v>1.4769210546563154E-2</v>
      </c>
      <c r="E48" s="30">
        <f>'C. Eco.'!AG18</f>
        <v>1.527907445699217E-2</v>
      </c>
      <c r="F48" s="30">
        <f>'C. So.'!AG18</f>
        <v>7.8277655448184505E-2</v>
      </c>
      <c r="G48" s="30">
        <f>'C. Am.'!AG18</f>
        <v>6.0201032807298632E-2</v>
      </c>
      <c r="H48" s="31">
        <f>'C. Com.'!AG18</f>
        <v>5.1403339736398657E-2</v>
      </c>
      <c r="I48" s="89">
        <f t="shared" si="10"/>
        <v>4.3986062599087425E-2</v>
      </c>
    </row>
    <row r="49" spans="2:8" ht="14.5" thickBot="1" x14ac:dyDescent="0.4">
      <c r="B49" s="177"/>
      <c r="C49" s="43" t="s">
        <v>9</v>
      </c>
      <c r="D49" s="58">
        <f>N24</f>
        <v>0.2</v>
      </c>
      <c r="E49" s="59">
        <f>N25</f>
        <v>0.2</v>
      </c>
      <c r="F49" s="59">
        <f>N26</f>
        <v>0.2</v>
      </c>
      <c r="G49" s="59">
        <f>N27</f>
        <v>0.2</v>
      </c>
      <c r="H49" s="60">
        <f>N28</f>
        <v>0.2</v>
      </c>
    </row>
  </sheetData>
  <sortState xmlns:xlrd2="http://schemas.microsoft.com/office/spreadsheetml/2017/richdata2" ref="C6:C19">
    <sortCondition ref="C5:C19"/>
  </sortState>
  <mergeCells count="9">
    <mergeCell ref="C22:H22"/>
    <mergeCell ref="B2:C4"/>
    <mergeCell ref="D32:H32"/>
    <mergeCell ref="B34:B49"/>
    <mergeCell ref="I32:I33"/>
    <mergeCell ref="B32:C33"/>
    <mergeCell ref="D2:H2"/>
    <mergeCell ref="B5:B19"/>
    <mergeCell ref="I23:M23"/>
  </mergeCells>
  <conditionalFormatting sqref="D34:D48">
    <cfRule type="top10" dxfId="30" priority="8" rank="1"/>
    <cfRule type="top10" dxfId="29" priority="18" rank="3"/>
    <cfRule type="top10" dxfId="28" priority="19" bottom="1" rank="3"/>
    <cfRule type="top10" dxfId="27" priority="20" bottom="1" rank="3"/>
  </conditionalFormatting>
  <conditionalFormatting sqref="E34:E48">
    <cfRule type="top10" dxfId="26" priority="7" rank="1"/>
    <cfRule type="top10" dxfId="25" priority="16" bottom="1" rank="3"/>
    <cfRule type="top10" dxfId="24" priority="17" rank="3"/>
  </conditionalFormatting>
  <conditionalFormatting sqref="F34:F48">
    <cfRule type="top10" dxfId="23" priority="6" rank="1"/>
    <cfRule type="top10" dxfId="22" priority="13" rank="3"/>
    <cfRule type="top10" dxfId="21" priority="14" bottom="1" rank="3"/>
  </conditionalFormatting>
  <conditionalFormatting sqref="G34:G48">
    <cfRule type="top10" dxfId="20" priority="5" rank="1"/>
    <cfRule type="top10" dxfId="19" priority="11" bottom="1" rank="3"/>
    <cfRule type="top10" dxfId="18" priority="12" rank="3"/>
  </conditionalFormatting>
  <conditionalFormatting sqref="H34:H48">
    <cfRule type="top10" dxfId="17" priority="4" rank="1"/>
    <cfRule type="top10" dxfId="16" priority="9" bottom="1" rank="3"/>
    <cfRule type="top10" dxfId="15" priority="10" rank="3"/>
  </conditionalFormatting>
  <conditionalFormatting sqref="I34:I48">
    <cfRule type="top10" dxfId="14" priority="3" rank="1"/>
    <cfRule type="top10" dxfId="13" priority="21" bottom="1" rank="3"/>
    <cfRule type="top10" dxfId="12" priority="22" rank="3"/>
  </conditionalFormatting>
  <conditionalFormatting sqref="Q14">
    <cfRule type="cellIs" dxfId="11" priority="1" operator="greaterThan">
      <formula>0.1</formula>
    </cfRule>
    <cfRule type="cellIs" dxfId="10" priority="2" operator="lessThan">
      <formula>0.1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A639-ED4B-43CD-8CAA-47498E9D984B}">
  <dimension ref="A1:AP28"/>
  <sheetViews>
    <sheetView topLeftCell="AD1" zoomScale="139" zoomScaleNormal="85" workbookViewId="0">
      <selection activeCell="O23" sqref="O23"/>
    </sheetView>
  </sheetViews>
  <sheetFormatPr baseColWidth="10" defaultRowHeight="14" x14ac:dyDescent="0.3"/>
  <cols>
    <col min="1" max="1" width="10.90625" style="44"/>
    <col min="2" max="2" width="25.08984375" style="44" customWidth="1"/>
    <col min="3" max="11" width="10.6328125" style="44" customWidth="1"/>
    <col min="12" max="12" width="11" style="44" bestFit="1" customWidth="1"/>
    <col min="13" max="15" width="11.453125" style="44" bestFit="1" customWidth="1"/>
    <col min="16" max="17" width="10.90625" style="44"/>
    <col min="18" max="18" width="7.81640625" style="44" customWidth="1"/>
    <col min="19" max="19" width="8.453125" style="44" bestFit="1" customWidth="1"/>
    <col min="20" max="20" width="7.81640625" style="44" customWidth="1"/>
    <col min="21" max="21" width="8.453125" style="44" bestFit="1" customWidth="1"/>
    <col min="22" max="32" width="7.81640625" style="44" customWidth="1"/>
    <col min="33" max="16384" width="10.90625" style="44"/>
  </cols>
  <sheetData>
    <row r="1" spans="1:42" ht="14.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42" ht="14.5" thickBot="1" x14ac:dyDescent="0.35">
      <c r="A2" s="1"/>
      <c r="B2" s="165" t="s">
        <v>11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7"/>
      <c r="AH2" s="1"/>
    </row>
    <row r="3" spans="1:42" s="47" customFormat="1" ht="42.5" thickBot="1" x14ac:dyDescent="0.35">
      <c r="A3" s="1"/>
      <c r="B3" s="12" t="s">
        <v>0</v>
      </c>
      <c r="C3" s="45" t="s">
        <v>22</v>
      </c>
      <c r="D3" s="45" t="s">
        <v>29</v>
      </c>
      <c r="E3" s="14" t="s">
        <v>18</v>
      </c>
      <c r="F3" s="46" t="s">
        <v>24</v>
      </c>
      <c r="G3" s="46" t="s">
        <v>31</v>
      </c>
      <c r="H3" s="45" t="s">
        <v>25</v>
      </c>
      <c r="I3" s="45" t="s">
        <v>27</v>
      </c>
      <c r="J3" s="46" t="s">
        <v>20</v>
      </c>
      <c r="K3" s="45" t="s">
        <v>19</v>
      </c>
      <c r="L3" s="46" t="s">
        <v>32</v>
      </c>
      <c r="M3" s="46" t="s">
        <v>26</v>
      </c>
      <c r="N3" s="45" t="s">
        <v>30</v>
      </c>
      <c r="O3" s="46" t="s">
        <v>28</v>
      </c>
      <c r="P3" s="46" t="s">
        <v>23</v>
      </c>
      <c r="Q3" s="45" t="s">
        <v>21</v>
      </c>
      <c r="R3" s="168" t="s">
        <v>8</v>
      </c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69"/>
      <c r="AG3" s="12" t="s">
        <v>12</v>
      </c>
      <c r="AH3" s="1"/>
      <c r="AI3" s="14" t="s">
        <v>43</v>
      </c>
      <c r="AJ3" s="12" t="s">
        <v>41</v>
      </c>
      <c r="AK3" s="12" t="s">
        <v>45</v>
      </c>
      <c r="AL3" s="12" t="s">
        <v>44</v>
      </c>
      <c r="AM3" s="12" t="s">
        <v>46</v>
      </c>
      <c r="AN3" s="1"/>
      <c r="AO3" s="12" t="s">
        <v>42</v>
      </c>
      <c r="AP3" s="39">
        <f>(AK4-AL4)/(AL4-1)</f>
        <v>9.2058890420592121E-3</v>
      </c>
    </row>
    <row r="4" spans="1:42" ht="15" thickBot="1" x14ac:dyDescent="0.35">
      <c r="A4" s="1"/>
      <c r="B4" s="48" t="s">
        <v>22</v>
      </c>
      <c r="C4" s="67">
        <v>1</v>
      </c>
      <c r="D4" s="63">
        <v>0.14285714285714285</v>
      </c>
      <c r="E4" s="63">
        <v>1</v>
      </c>
      <c r="F4" s="63">
        <v>0.14285714285714285</v>
      </c>
      <c r="G4" s="63">
        <v>0.14285714285714285</v>
      </c>
      <c r="H4" s="63">
        <v>0.14285714285714285</v>
      </c>
      <c r="I4" s="63">
        <v>0.14285714285714285</v>
      </c>
      <c r="J4" s="63">
        <v>1</v>
      </c>
      <c r="K4" s="63">
        <v>1</v>
      </c>
      <c r="L4" s="63">
        <v>0.2</v>
      </c>
      <c r="M4" s="63">
        <v>0.14285714285714285</v>
      </c>
      <c r="N4" s="63">
        <v>0.14285714285714285</v>
      </c>
      <c r="O4" s="63">
        <v>0.14285714285714285</v>
      </c>
      <c r="P4" s="63">
        <v>1</v>
      </c>
      <c r="Q4" s="15">
        <v>1</v>
      </c>
      <c r="R4" s="25">
        <f>C4/C$19</f>
        <v>1.4925373134328358E-2</v>
      </c>
      <c r="S4" s="25">
        <f t="shared" ref="S4:AF4" si="0">D4/D$19</f>
        <v>1.5544041450777202E-2</v>
      </c>
      <c r="T4" s="25">
        <f t="shared" si="0"/>
        <v>1.4925373134328358E-2</v>
      </c>
      <c r="U4" s="25">
        <f t="shared" si="0"/>
        <v>1.5544041450777202E-2</v>
      </c>
      <c r="V4" s="25">
        <f t="shared" si="0"/>
        <v>1.5544041450777202E-2</v>
      </c>
      <c r="W4" s="25">
        <f t="shared" si="0"/>
        <v>1.5544041450777202E-2</v>
      </c>
      <c r="X4" s="25">
        <f t="shared" si="0"/>
        <v>1.5544041450777202E-2</v>
      </c>
      <c r="Y4" s="25">
        <f t="shared" si="0"/>
        <v>1.4925373134328358E-2</v>
      </c>
      <c r="Z4" s="25">
        <f t="shared" si="0"/>
        <v>1.4925373134328358E-2</v>
      </c>
      <c r="AA4" s="25">
        <f t="shared" si="0"/>
        <v>7.6335877862595434E-3</v>
      </c>
      <c r="AB4" s="25">
        <f t="shared" si="0"/>
        <v>1.5544041450777202E-2</v>
      </c>
      <c r="AC4" s="25">
        <f t="shared" si="0"/>
        <v>1.5544041450777202E-2</v>
      </c>
      <c r="AD4" s="25">
        <f t="shared" si="0"/>
        <v>1.5544041450777202E-2</v>
      </c>
      <c r="AE4" s="25">
        <f t="shared" si="0"/>
        <v>1.4925373134328358E-2</v>
      </c>
      <c r="AF4" s="25">
        <f t="shared" si="0"/>
        <v>1.4925373134328358E-2</v>
      </c>
      <c r="AG4" s="39">
        <f>AVERAGE(R4:AF4)</f>
        <v>1.4769210546563154E-2</v>
      </c>
      <c r="AH4" s="1"/>
      <c r="AI4" s="96">
        <f>SUMPRODUCT(C4:Q4,$C$20:$Q$20)</f>
        <v>0.22176959547137493</v>
      </c>
      <c r="AJ4" s="97">
        <f>AI4/AG4</f>
        <v>15.015670253477527</v>
      </c>
      <c r="AK4" s="98">
        <f>AVERAGE(AJ4:AJ18)</f>
        <v>15.128882446588829</v>
      </c>
      <c r="AL4" s="98">
        <v>15</v>
      </c>
      <c r="AM4" s="97">
        <f>(1.86668*(15-2))/15</f>
        <v>1.6177893333333333</v>
      </c>
      <c r="AN4" s="35"/>
      <c r="AO4" s="92" t="s">
        <v>10</v>
      </c>
      <c r="AP4" s="34">
        <f>AP3/AM4</f>
        <v>5.6904127455774294E-3</v>
      </c>
    </row>
    <row r="5" spans="1:42" ht="15" thickBot="1" x14ac:dyDescent="0.35">
      <c r="A5" s="1"/>
      <c r="B5" s="48" t="s">
        <v>29</v>
      </c>
      <c r="C5" s="68">
        <f>1/D4</f>
        <v>7</v>
      </c>
      <c r="D5" s="64">
        <v>1</v>
      </c>
      <c r="E5" s="64">
        <v>7</v>
      </c>
      <c r="F5" s="64">
        <v>1</v>
      </c>
      <c r="G5" s="64">
        <v>1</v>
      </c>
      <c r="H5" s="64">
        <v>1</v>
      </c>
      <c r="I5" s="64">
        <v>1</v>
      </c>
      <c r="J5" s="64">
        <v>7</v>
      </c>
      <c r="K5" s="64">
        <v>7</v>
      </c>
      <c r="L5" s="64">
        <v>3</v>
      </c>
      <c r="M5" s="64">
        <v>1</v>
      </c>
      <c r="N5" s="64">
        <v>1</v>
      </c>
      <c r="O5" s="64">
        <v>1</v>
      </c>
      <c r="P5" s="64">
        <v>7</v>
      </c>
      <c r="Q5" s="16">
        <v>7</v>
      </c>
      <c r="R5" s="25">
        <f t="shared" ref="R5:R18" si="1">C5/C$19</f>
        <v>0.1044776119402985</v>
      </c>
      <c r="S5" s="25">
        <f t="shared" ref="S5:S18" si="2">D5/D$19</f>
        <v>0.10880829015544043</v>
      </c>
      <c r="T5" s="25">
        <f t="shared" ref="T5:T18" si="3">E5/E$19</f>
        <v>0.1044776119402985</v>
      </c>
      <c r="U5" s="25">
        <f t="shared" ref="U5:U18" si="4">F5/F$19</f>
        <v>0.10880829015544043</v>
      </c>
      <c r="V5" s="25">
        <f t="shared" ref="V5:V18" si="5">G5/G$19</f>
        <v>0.10880829015544043</v>
      </c>
      <c r="W5" s="25">
        <f t="shared" ref="W5:W18" si="6">H5/H$19</f>
        <v>0.10880829015544043</v>
      </c>
      <c r="X5" s="25">
        <f t="shared" ref="X5:X18" si="7">I5/I$19</f>
        <v>0.10880829015544043</v>
      </c>
      <c r="Y5" s="25">
        <f t="shared" ref="Y5:Y18" si="8">J5/J$19</f>
        <v>0.1044776119402985</v>
      </c>
      <c r="Z5" s="25">
        <f t="shared" ref="Z5:Z18" si="9">K5/K$19</f>
        <v>0.1044776119402985</v>
      </c>
      <c r="AA5" s="25">
        <f t="shared" ref="AA5:AA18" si="10">L5/L$19</f>
        <v>0.11450381679389315</v>
      </c>
      <c r="AB5" s="25">
        <f t="shared" ref="AB5:AB18" si="11">M5/M$19</f>
        <v>0.10880829015544043</v>
      </c>
      <c r="AC5" s="25">
        <f t="shared" ref="AC5:AC18" si="12">N5/N$19</f>
        <v>0.10880829015544043</v>
      </c>
      <c r="AD5" s="25">
        <f t="shared" ref="AD5:AD18" si="13">O5/O$19</f>
        <v>0.10880829015544043</v>
      </c>
      <c r="AE5" s="25">
        <f t="shared" ref="AE5:AE18" si="14">P5/P$19</f>
        <v>0.1044776119402985</v>
      </c>
      <c r="AF5" s="25">
        <f t="shared" ref="AF5:AF18" si="15">Q5/Q$19</f>
        <v>0.1044776119402985</v>
      </c>
      <c r="AG5" s="39">
        <f t="shared" ref="AG5:AG18" si="16">AVERAGE(R5:AF5)</f>
        <v>0.1074557206452805</v>
      </c>
      <c r="AH5" s="1"/>
      <c r="AI5" s="96">
        <f t="shared" ref="AI5:AI18" si="17">SUMPRODUCT(C5:Q5,$C$20:$Q$20)</f>
        <v>1.6351695227930279</v>
      </c>
      <c r="AJ5" s="97">
        <f>AI5/AG5</f>
        <v>15.21714723956714</v>
      </c>
      <c r="AK5" s="35"/>
      <c r="AL5" s="35"/>
      <c r="AM5" s="35"/>
      <c r="AN5" s="35"/>
      <c r="AO5" s="35"/>
      <c r="AP5" s="35"/>
    </row>
    <row r="6" spans="1:42" ht="15" thickBot="1" x14ac:dyDescent="0.35">
      <c r="A6" s="1"/>
      <c r="B6" s="49" t="s">
        <v>18</v>
      </c>
      <c r="C6" s="68">
        <f>1/E4</f>
        <v>1</v>
      </c>
      <c r="D6" s="64">
        <f>1/E5</f>
        <v>0.14285714285714285</v>
      </c>
      <c r="E6" s="64">
        <v>1</v>
      </c>
      <c r="F6" s="64">
        <v>0.14285714285714285</v>
      </c>
      <c r="G6" s="64">
        <v>0.14285714285714285</v>
      </c>
      <c r="H6" s="64">
        <v>0.14285714285714285</v>
      </c>
      <c r="I6" s="64">
        <v>0.14285714285714285</v>
      </c>
      <c r="J6" s="64">
        <v>1</v>
      </c>
      <c r="K6" s="64">
        <v>1</v>
      </c>
      <c r="L6" s="64">
        <v>0.2</v>
      </c>
      <c r="M6" s="64">
        <v>0.14285714285714285</v>
      </c>
      <c r="N6" s="64">
        <v>0.14285714285714285</v>
      </c>
      <c r="O6" s="64">
        <v>0.14285714285714285</v>
      </c>
      <c r="P6" s="64">
        <v>1</v>
      </c>
      <c r="Q6" s="16">
        <v>1</v>
      </c>
      <c r="R6" s="25">
        <f t="shared" si="1"/>
        <v>1.4925373134328358E-2</v>
      </c>
      <c r="S6" s="25">
        <f t="shared" si="2"/>
        <v>1.5544041450777202E-2</v>
      </c>
      <c r="T6" s="25">
        <f t="shared" si="3"/>
        <v>1.4925373134328358E-2</v>
      </c>
      <c r="U6" s="25">
        <f t="shared" si="4"/>
        <v>1.5544041450777202E-2</v>
      </c>
      <c r="V6" s="25">
        <f t="shared" si="5"/>
        <v>1.5544041450777202E-2</v>
      </c>
      <c r="W6" s="25">
        <f t="shared" si="6"/>
        <v>1.5544041450777202E-2</v>
      </c>
      <c r="X6" s="25">
        <f t="shared" si="7"/>
        <v>1.5544041450777202E-2</v>
      </c>
      <c r="Y6" s="25">
        <f t="shared" si="8"/>
        <v>1.4925373134328358E-2</v>
      </c>
      <c r="Z6" s="25">
        <f t="shared" si="9"/>
        <v>1.4925373134328358E-2</v>
      </c>
      <c r="AA6" s="25">
        <f t="shared" si="10"/>
        <v>7.6335877862595434E-3</v>
      </c>
      <c r="AB6" s="25">
        <f t="shared" si="11"/>
        <v>1.5544041450777202E-2</v>
      </c>
      <c r="AC6" s="25">
        <f t="shared" si="12"/>
        <v>1.5544041450777202E-2</v>
      </c>
      <c r="AD6" s="25">
        <f t="shared" si="13"/>
        <v>1.5544041450777202E-2</v>
      </c>
      <c r="AE6" s="25">
        <f t="shared" si="14"/>
        <v>1.4925373134328358E-2</v>
      </c>
      <c r="AF6" s="25">
        <f t="shared" si="15"/>
        <v>1.4925373134328358E-2</v>
      </c>
      <c r="AG6" s="39">
        <f t="shared" si="16"/>
        <v>1.4769210546563154E-2</v>
      </c>
      <c r="AH6" s="1"/>
      <c r="AI6" s="96">
        <f t="shared" si="17"/>
        <v>0.22176959547137493</v>
      </c>
      <c r="AJ6" s="97">
        <f t="shared" ref="AJ6:AJ18" si="18">AI6/AG6</f>
        <v>15.015670253477527</v>
      </c>
      <c r="AK6" s="90"/>
      <c r="AL6" s="90"/>
      <c r="AM6" s="90"/>
      <c r="AN6" s="35"/>
      <c r="AO6" s="1"/>
      <c r="AP6" s="35"/>
    </row>
    <row r="7" spans="1:42" ht="15" thickBot="1" x14ac:dyDescent="0.35">
      <c r="A7" s="1"/>
      <c r="B7" s="50" t="s">
        <v>24</v>
      </c>
      <c r="C7" s="68">
        <f>1/F4</f>
        <v>7</v>
      </c>
      <c r="D7" s="64">
        <f>1/F5</f>
        <v>1</v>
      </c>
      <c r="E7" s="64">
        <f>1/F6</f>
        <v>7</v>
      </c>
      <c r="F7" s="64">
        <v>1</v>
      </c>
      <c r="G7" s="64">
        <v>1</v>
      </c>
      <c r="H7" s="64">
        <v>1</v>
      </c>
      <c r="I7" s="64">
        <v>1</v>
      </c>
      <c r="J7" s="64">
        <v>7</v>
      </c>
      <c r="K7" s="64">
        <v>7</v>
      </c>
      <c r="L7" s="64">
        <v>3</v>
      </c>
      <c r="M7" s="64">
        <v>1</v>
      </c>
      <c r="N7" s="64">
        <v>1</v>
      </c>
      <c r="O7" s="64">
        <v>1</v>
      </c>
      <c r="P7" s="64">
        <v>7</v>
      </c>
      <c r="Q7" s="16">
        <v>7</v>
      </c>
      <c r="R7" s="25">
        <f t="shared" si="1"/>
        <v>0.1044776119402985</v>
      </c>
      <c r="S7" s="25">
        <f t="shared" si="2"/>
        <v>0.10880829015544043</v>
      </c>
      <c r="T7" s="25">
        <f t="shared" si="3"/>
        <v>0.1044776119402985</v>
      </c>
      <c r="U7" s="25">
        <f t="shared" si="4"/>
        <v>0.10880829015544043</v>
      </c>
      <c r="V7" s="25">
        <f t="shared" si="5"/>
        <v>0.10880829015544043</v>
      </c>
      <c r="W7" s="25">
        <f t="shared" si="6"/>
        <v>0.10880829015544043</v>
      </c>
      <c r="X7" s="25">
        <f t="shared" si="7"/>
        <v>0.10880829015544043</v>
      </c>
      <c r="Y7" s="25">
        <f t="shared" si="8"/>
        <v>0.1044776119402985</v>
      </c>
      <c r="Z7" s="25">
        <f t="shared" si="9"/>
        <v>0.1044776119402985</v>
      </c>
      <c r="AA7" s="25">
        <f t="shared" si="10"/>
        <v>0.11450381679389315</v>
      </c>
      <c r="AB7" s="25">
        <f t="shared" si="11"/>
        <v>0.10880829015544043</v>
      </c>
      <c r="AC7" s="25">
        <f t="shared" si="12"/>
        <v>0.10880829015544043</v>
      </c>
      <c r="AD7" s="25">
        <f t="shared" si="13"/>
        <v>0.10880829015544043</v>
      </c>
      <c r="AE7" s="25">
        <f t="shared" si="14"/>
        <v>0.1044776119402985</v>
      </c>
      <c r="AF7" s="25">
        <f t="shared" si="15"/>
        <v>0.1044776119402985</v>
      </c>
      <c r="AG7" s="39">
        <f t="shared" si="16"/>
        <v>0.1074557206452805</v>
      </c>
      <c r="AH7" s="1"/>
      <c r="AI7" s="96">
        <f t="shared" si="17"/>
        <v>1.6351695227930279</v>
      </c>
      <c r="AJ7" s="97">
        <f t="shared" si="18"/>
        <v>15.21714723956714</v>
      </c>
      <c r="AK7" s="90"/>
      <c r="AL7" s="90"/>
      <c r="AM7" s="90"/>
      <c r="AN7" s="1"/>
      <c r="AO7" s="1"/>
      <c r="AP7" s="35"/>
    </row>
    <row r="8" spans="1:42" ht="15" thickBot="1" x14ac:dyDescent="0.35">
      <c r="A8" s="1"/>
      <c r="B8" s="50" t="s">
        <v>31</v>
      </c>
      <c r="C8" s="68">
        <f>1/G4</f>
        <v>7</v>
      </c>
      <c r="D8" s="64">
        <f>1/G5</f>
        <v>1</v>
      </c>
      <c r="E8" s="64">
        <f>1/G6</f>
        <v>7</v>
      </c>
      <c r="F8" s="64">
        <f>1/G7</f>
        <v>1</v>
      </c>
      <c r="G8" s="64">
        <v>1</v>
      </c>
      <c r="H8" s="64">
        <v>1</v>
      </c>
      <c r="I8" s="64">
        <v>1</v>
      </c>
      <c r="J8" s="64">
        <v>7</v>
      </c>
      <c r="K8" s="64">
        <v>7</v>
      </c>
      <c r="L8" s="64">
        <v>3</v>
      </c>
      <c r="M8" s="64">
        <v>1</v>
      </c>
      <c r="N8" s="64">
        <v>1</v>
      </c>
      <c r="O8" s="64">
        <v>1</v>
      </c>
      <c r="P8" s="64">
        <v>7</v>
      </c>
      <c r="Q8" s="16">
        <v>7</v>
      </c>
      <c r="R8" s="25">
        <f t="shared" si="1"/>
        <v>0.1044776119402985</v>
      </c>
      <c r="S8" s="25">
        <f t="shared" si="2"/>
        <v>0.10880829015544043</v>
      </c>
      <c r="T8" s="25">
        <f t="shared" si="3"/>
        <v>0.1044776119402985</v>
      </c>
      <c r="U8" s="25">
        <f t="shared" si="4"/>
        <v>0.10880829015544043</v>
      </c>
      <c r="V8" s="25">
        <f t="shared" si="5"/>
        <v>0.10880829015544043</v>
      </c>
      <c r="W8" s="25">
        <f t="shared" si="6"/>
        <v>0.10880829015544043</v>
      </c>
      <c r="X8" s="25">
        <f t="shared" si="7"/>
        <v>0.10880829015544043</v>
      </c>
      <c r="Y8" s="25">
        <f t="shared" si="8"/>
        <v>0.1044776119402985</v>
      </c>
      <c r="Z8" s="25">
        <f t="shared" si="9"/>
        <v>0.1044776119402985</v>
      </c>
      <c r="AA8" s="25">
        <f t="shared" si="10"/>
        <v>0.11450381679389315</v>
      </c>
      <c r="AB8" s="25">
        <f t="shared" si="11"/>
        <v>0.10880829015544043</v>
      </c>
      <c r="AC8" s="25">
        <f t="shared" si="12"/>
        <v>0.10880829015544043</v>
      </c>
      <c r="AD8" s="25">
        <f t="shared" si="13"/>
        <v>0.10880829015544043</v>
      </c>
      <c r="AE8" s="25">
        <f t="shared" si="14"/>
        <v>0.1044776119402985</v>
      </c>
      <c r="AF8" s="25">
        <f t="shared" si="15"/>
        <v>0.1044776119402985</v>
      </c>
      <c r="AG8" s="39">
        <f t="shared" si="16"/>
        <v>0.1074557206452805</v>
      </c>
      <c r="AH8" s="1"/>
      <c r="AI8" s="96">
        <f t="shared" si="17"/>
        <v>1.6351695227930279</v>
      </c>
      <c r="AJ8" s="97">
        <f t="shared" si="18"/>
        <v>15.21714723956714</v>
      </c>
      <c r="AK8" s="90"/>
      <c r="AL8" s="90"/>
      <c r="AM8" s="90"/>
      <c r="AN8" s="1"/>
      <c r="AO8" s="35"/>
      <c r="AP8" s="35"/>
    </row>
    <row r="9" spans="1:42" ht="15" thickBot="1" x14ac:dyDescent="0.35">
      <c r="A9" s="1"/>
      <c r="B9" s="48" t="s">
        <v>25</v>
      </c>
      <c r="C9" s="68">
        <f>1/H4</f>
        <v>7</v>
      </c>
      <c r="D9" s="64">
        <f>1/H5</f>
        <v>1</v>
      </c>
      <c r="E9" s="64">
        <f>1/H6</f>
        <v>7</v>
      </c>
      <c r="F9" s="64">
        <f>1/H7</f>
        <v>1</v>
      </c>
      <c r="G9" s="64">
        <f>1/H8</f>
        <v>1</v>
      </c>
      <c r="H9" s="64">
        <v>1</v>
      </c>
      <c r="I9" s="64">
        <v>1</v>
      </c>
      <c r="J9" s="64">
        <v>7</v>
      </c>
      <c r="K9" s="64">
        <v>7</v>
      </c>
      <c r="L9" s="64">
        <v>3</v>
      </c>
      <c r="M9" s="64">
        <v>1</v>
      </c>
      <c r="N9" s="64">
        <v>1</v>
      </c>
      <c r="O9" s="64">
        <v>1</v>
      </c>
      <c r="P9" s="64">
        <v>7</v>
      </c>
      <c r="Q9" s="16">
        <v>7</v>
      </c>
      <c r="R9" s="25">
        <f t="shared" si="1"/>
        <v>0.1044776119402985</v>
      </c>
      <c r="S9" s="25">
        <f t="shared" si="2"/>
        <v>0.10880829015544043</v>
      </c>
      <c r="T9" s="25">
        <f t="shared" si="3"/>
        <v>0.1044776119402985</v>
      </c>
      <c r="U9" s="25">
        <f t="shared" si="4"/>
        <v>0.10880829015544043</v>
      </c>
      <c r="V9" s="25">
        <f t="shared" si="5"/>
        <v>0.10880829015544043</v>
      </c>
      <c r="W9" s="25">
        <f t="shared" si="6"/>
        <v>0.10880829015544043</v>
      </c>
      <c r="X9" s="25">
        <f t="shared" si="7"/>
        <v>0.10880829015544043</v>
      </c>
      <c r="Y9" s="25">
        <f t="shared" si="8"/>
        <v>0.1044776119402985</v>
      </c>
      <c r="Z9" s="25">
        <f t="shared" si="9"/>
        <v>0.1044776119402985</v>
      </c>
      <c r="AA9" s="25">
        <f t="shared" si="10"/>
        <v>0.11450381679389315</v>
      </c>
      <c r="AB9" s="25">
        <f t="shared" si="11"/>
        <v>0.10880829015544043</v>
      </c>
      <c r="AC9" s="25">
        <f t="shared" si="12"/>
        <v>0.10880829015544043</v>
      </c>
      <c r="AD9" s="25">
        <f t="shared" si="13"/>
        <v>0.10880829015544043</v>
      </c>
      <c r="AE9" s="25">
        <f t="shared" si="14"/>
        <v>0.1044776119402985</v>
      </c>
      <c r="AF9" s="25">
        <f t="shared" si="15"/>
        <v>0.1044776119402985</v>
      </c>
      <c r="AG9" s="39">
        <f t="shared" si="16"/>
        <v>0.1074557206452805</v>
      </c>
      <c r="AH9" s="1"/>
      <c r="AI9" s="96">
        <f t="shared" si="17"/>
        <v>1.6351695227930279</v>
      </c>
      <c r="AJ9" s="97">
        <f t="shared" si="18"/>
        <v>15.21714723956714</v>
      </c>
    </row>
    <row r="10" spans="1:42" ht="15" thickBot="1" x14ac:dyDescent="0.35">
      <c r="A10" s="1"/>
      <c r="B10" s="48" t="s">
        <v>27</v>
      </c>
      <c r="C10" s="68">
        <f>1/I4</f>
        <v>7</v>
      </c>
      <c r="D10" s="64">
        <f>1/I5</f>
        <v>1</v>
      </c>
      <c r="E10" s="64">
        <f>1/I6</f>
        <v>7</v>
      </c>
      <c r="F10" s="64">
        <f>1/I7</f>
        <v>1</v>
      </c>
      <c r="G10" s="64">
        <f>1/I8</f>
        <v>1</v>
      </c>
      <c r="H10" s="64">
        <f>1/I9</f>
        <v>1</v>
      </c>
      <c r="I10" s="64">
        <v>1</v>
      </c>
      <c r="J10" s="64">
        <v>7</v>
      </c>
      <c r="K10" s="64">
        <v>7</v>
      </c>
      <c r="L10" s="64">
        <v>3</v>
      </c>
      <c r="M10" s="64">
        <v>1</v>
      </c>
      <c r="N10" s="64">
        <v>1</v>
      </c>
      <c r="O10" s="64">
        <v>1</v>
      </c>
      <c r="P10" s="64">
        <v>7</v>
      </c>
      <c r="Q10" s="16">
        <v>7</v>
      </c>
      <c r="R10" s="25">
        <f t="shared" si="1"/>
        <v>0.1044776119402985</v>
      </c>
      <c r="S10" s="25">
        <f t="shared" si="2"/>
        <v>0.10880829015544043</v>
      </c>
      <c r="T10" s="25">
        <f t="shared" si="3"/>
        <v>0.1044776119402985</v>
      </c>
      <c r="U10" s="25">
        <f t="shared" si="4"/>
        <v>0.10880829015544043</v>
      </c>
      <c r="V10" s="25">
        <f t="shared" si="5"/>
        <v>0.10880829015544043</v>
      </c>
      <c r="W10" s="25">
        <f t="shared" si="6"/>
        <v>0.10880829015544043</v>
      </c>
      <c r="X10" s="25">
        <f t="shared" si="7"/>
        <v>0.10880829015544043</v>
      </c>
      <c r="Y10" s="25">
        <f t="shared" si="8"/>
        <v>0.1044776119402985</v>
      </c>
      <c r="Z10" s="25">
        <f t="shared" si="9"/>
        <v>0.1044776119402985</v>
      </c>
      <c r="AA10" s="25">
        <f t="shared" si="10"/>
        <v>0.11450381679389315</v>
      </c>
      <c r="AB10" s="25">
        <f t="shared" si="11"/>
        <v>0.10880829015544043</v>
      </c>
      <c r="AC10" s="25">
        <f t="shared" si="12"/>
        <v>0.10880829015544043</v>
      </c>
      <c r="AD10" s="25">
        <f t="shared" si="13"/>
        <v>0.10880829015544043</v>
      </c>
      <c r="AE10" s="25">
        <f t="shared" si="14"/>
        <v>0.1044776119402985</v>
      </c>
      <c r="AF10" s="25">
        <f t="shared" si="15"/>
        <v>0.1044776119402985</v>
      </c>
      <c r="AG10" s="39">
        <f t="shared" si="16"/>
        <v>0.1074557206452805</v>
      </c>
      <c r="AH10" s="1"/>
      <c r="AI10" s="96">
        <f t="shared" si="17"/>
        <v>1.6351695227930279</v>
      </c>
      <c r="AJ10" s="97">
        <f t="shared" si="18"/>
        <v>15.21714723956714</v>
      </c>
    </row>
    <row r="11" spans="1:42" ht="15" thickBot="1" x14ac:dyDescent="0.35">
      <c r="A11" s="1"/>
      <c r="B11" s="50" t="s">
        <v>20</v>
      </c>
      <c r="C11" s="68">
        <f>1/J4</f>
        <v>1</v>
      </c>
      <c r="D11" s="64">
        <f>1/J5</f>
        <v>0.14285714285714285</v>
      </c>
      <c r="E11" s="64">
        <f>1/J6</f>
        <v>1</v>
      </c>
      <c r="F11" s="64">
        <f>1/J7</f>
        <v>0.14285714285714285</v>
      </c>
      <c r="G11" s="64">
        <f>1/J8</f>
        <v>0.14285714285714285</v>
      </c>
      <c r="H11" s="64">
        <f>1/J9</f>
        <v>0.14285714285714285</v>
      </c>
      <c r="I11" s="64">
        <f>1/J10</f>
        <v>0.14285714285714285</v>
      </c>
      <c r="J11" s="64">
        <v>1</v>
      </c>
      <c r="K11" s="64">
        <v>1</v>
      </c>
      <c r="L11" s="64">
        <v>0.2</v>
      </c>
      <c r="M11" s="64">
        <v>0.14285714285714285</v>
      </c>
      <c r="N11" s="64">
        <v>0.14285714285714285</v>
      </c>
      <c r="O11" s="64">
        <v>0.14285714285714285</v>
      </c>
      <c r="P11" s="64">
        <v>1</v>
      </c>
      <c r="Q11" s="16">
        <v>1</v>
      </c>
      <c r="R11" s="25">
        <f t="shared" si="1"/>
        <v>1.4925373134328358E-2</v>
      </c>
      <c r="S11" s="25">
        <f t="shared" si="2"/>
        <v>1.5544041450777202E-2</v>
      </c>
      <c r="T11" s="25">
        <f t="shared" si="3"/>
        <v>1.4925373134328358E-2</v>
      </c>
      <c r="U11" s="25">
        <f t="shared" si="4"/>
        <v>1.5544041450777202E-2</v>
      </c>
      <c r="V11" s="25">
        <f t="shared" si="5"/>
        <v>1.5544041450777202E-2</v>
      </c>
      <c r="W11" s="25">
        <f t="shared" si="6"/>
        <v>1.5544041450777202E-2</v>
      </c>
      <c r="X11" s="25">
        <f t="shared" si="7"/>
        <v>1.5544041450777202E-2</v>
      </c>
      <c r="Y11" s="25">
        <f t="shared" si="8"/>
        <v>1.4925373134328358E-2</v>
      </c>
      <c r="Z11" s="25">
        <f t="shared" si="9"/>
        <v>1.4925373134328358E-2</v>
      </c>
      <c r="AA11" s="25">
        <f t="shared" si="10"/>
        <v>7.6335877862595434E-3</v>
      </c>
      <c r="AB11" s="25">
        <f t="shared" si="11"/>
        <v>1.5544041450777202E-2</v>
      </c>
      <c r="AC11" s="25">
        <f t="shared" si="12"/>
        <v>1.5544041450777202E-2</v>
      </c>
      <c r="AD11" s="25">
        <f t="shared" si="13"/>
        <v>1.5544041450777202E-2</v>
      </c>
      <c r="AE11" s="25">
        <f t="shared" si="14"/>
        <v>1.4925373134328358E-2</v>
      </c>
      <c r="AF11" s="25">
        <f t="shared" si="15"/>
        <v>1.4925373134328358E-2</v>
      </c>
      <c r="AG11" s="39">
        <f t="shared" si="16"/>
        <v>1.4769210546563154E-2</v>
      </c>
      <c r="AH11" s="1"/>
      <c r="AI11" s="96">
        <f t="shared" si="17"/>
        <v>0.22176959547137493</v>
      </c>
      <c r="AJ11" s="97">
        <f t="shared" si="18"/>
        <v>15.015670253477527</v>
      </c>
    </row>
    <row r="12" spans="1:42" ht="15" thickBot="1" x14ac:dyDescent="0.35">
      <c r="A12" s="1"/>
      <c r="B12" s="48" t="s">
        <v>19</v>
      </c>
      <c r="C12" s="68">
        <f>1/K4</f>
        <v>1</v>
      </c>
      <c r="D12" s="64">
        <f>1/K5</f>
        <v>0.14285714285714285</v>
      </c>
      <c r="E12" s="64">
        <f>1/K6</f>
        <v>1</v>
      </c>
      <c r="F12" s="64">
        <f>1/K7</f>
        <v>0.14285714285714285</v>
      </c>
      <c r="G12" s="64">
        <f>1/K8</f>
        <v>0.14285714285714285</v>
      </c>
      <c r="H12" s="64">
        <f>1/K9</f>
        <v>0.14285714285714285</v>
      </c>
      <c r="I12" s="64">
        <f>1/K10</f>
        <v>0.14285714285714285</v>
      </c>
      <c r="J12" s="64">
        <f>1/K11</f>
        <v>1</v>
      </c>
      <c r="K12" s="64">
        <v>1</v>
      </c>
      <c r="L12" s="64">
        <v>0.2</v>
      </c>
      <c r="M12" s="64">
        <v>0.14285714285714285</v>
      </c>
      <c r="N12" s="64">
        <v>0.14285714285714285</v>
      </c>
      <c r="O12" s="64">
        <v>0.14285714285714285</v>
      </c>
      <c r="P12" s="64">
        <v>1</v>
      </c>
      <c r="Q12" s="16">
        <v>1</v>
      </c>
      <c r="R12" s="25">
        <f t="shared" si="1"/>
        <v>1.4925373134328358E-2</v>
      </c>
      <c r="S12" s="25">
        <f t="shared" si="2"/>
        <v>1.5544041450777202E-2</v>
      </c>
      <c r="T12" s="25">
        <f t="shared" si="3"/>
        <v>1.4925373134328358E-2</v>
      </c>
      <c r="U12" s="25">
        <f t="shared" si="4"/>
        <v>1.5544041450777202E-2</v>
      </c>
      <c r="V12" s="25">
        <f t="shared" si="5"/>
        <v>1.5544041450777202E-2</v>
      </c>
      <c r="W12" s="25">
        <f t="shared" si="6"/>
        <v>1.5544041450777202E-2</v>
      </c>
      <c r="X12" s="25">
        <f t="shared" si="7"/>
        <v>1.5544041450777202E-2</v>
      </c>
      <c r="Y12" s="25">
        <f t="shared" si="8"/>
        <v>1.4925373134328358E-2</v>
      </c>
      <c r="Z12" s="25">
        <f t="shared" si="9"/>
        <v>1.4925373134328358E-2</v>
      </c>
      <c r="AA12" s="25">
        <f t="shared" si="10"/>
        <v>7.6335877862595434E-3</v>
      </c>
      <c r="AB12" s="25">
        <f t="shared" si="11"/>
        <v>1.5544041450777202E-2</v>
      </c>
      <c r="AC12" s="25">
        <f t="shared" si="12"/>
        <v>1.5544041450777202E-2</v>
      </c>
      <c r="AD12" s="25">
        <f t="shared" si="13"/>
        <v>1.5544041450777202E-2</v>
      </c>
      <c r="AE12" s="25">
        <f t="shared" si="14"/>
        <v>1.4925373134328358E-2</v>
      </c>
      <c r="AF12" s="25">
        <f t="shared" si="15"/>
        <v>1.4925373134328358E-2</v>
      </c>
      <c r="AG12" s="39">
        <f t="shared" si="16"/>
        <v>1.4769210546563154E-2</v>
      </c>
      <c r="AH12" s="1"/>
      <c r="AI12" s="96">
        <f t="shared" si="17"/>
        <v>0.22176959547137493</v>
      </c>
      <c r="AJ12" s="97">
        <f t="shared" si="18"/>
        <v>15.015670253477527</v>
      </c>
    </row>
    <row r="13" spans="1:42" ht="15" thickBot="1" x14ac:dyDescent="0.35">
      <c r="A13" s="1"/>
      <c r="B13" s="50" t="s">
        <v>32</v>
      </c>
      <c r="C13" s="68">
        <f>1/L4</f>
        <v>5</v>
      </c>
      <c r="D13" s="64">
        <f>1/L5</f>
        <v>0.33333333333333331</v>
      </c>
      <c r="E13" s="64">
        <f>1/L6</f>
        <v>5</v>
      </c>
      <c r="F13" s="64">
        <f>1/L7</f>
        <v>0.33333333333333331</v>
      </c>
      <c r="G13" s="64">
        <f>1/L8</f>
        <v>0.33333333333333331</v>
      </c>
      <c r="H13" s="64">
        <f>1/L9</f>
        <v>0.33333333333333331</v>
      </c>
      <c r="I13" s="64">
        <f>1/L10</f>
        <v>0.33333333333333331</v>
      </c>
      <c r="J13" s="64">
        <f>1/L11</f>
        <v>5</v>
      </c>
      <c r="K13" s="64">
        <f>1/L12</f>
        <v>5</v>
      </c>
      <c r="L13" s="64">
        <v>1</v>
      </c>
      <c r="M13" s="64">
        <v>0.33333333333333331</v>
      </c>
      <c r="N13" s="64">
        <v>0.33333333333333331</v>
      </c>
      <c r="O13" s="64">
        <v>0.33333333333333331</v>
      </c>
      <c r="P13" s="64">
        <v>5</v>
      </c>
      <c r="Q13" s="16">
        <v>5</v>
      </c>
      <c r="R13" s="25">
        <f t="shared" si="1"/>
        <v>7.4626865671641784E-2</v>
      </c>
      <c r="S13" s="25">
        <f t="shared" si="2"/>
        <v>3.6269430051813475E-2</v>
      </c>
      <c r="T13" s="25">
        <f t="shared" si="3"/>
        <v>7.4626865671641784E-2</v>
      </c>
      <c r="U13" s="25">
        <f t="shared" si="4"/>
        <v>3.6269430051813475E-2</v>
      </c>
      <c r="V13" s="25">
        <f t="shared" si="5"/>
        <v>3.6269430051813475E-2</v>
      </c>
      <c r="W13" s="25">
        <f t="shared" si="6"/>
        <v>3.6269430051813475E-2</v>
      </c>
      <c r="X13" s="25">
        <f t="shared" si="7"/>
        <v>3.6269430051813475E-2</v>
      </c>
      <c r="Y13" s="25">
        <f t="shared" si="8"/>
        <v>7.4626865671641784E-2</v>
      </c>
      <c r="Z13" s="25">
        <f t="shared" si="9"/>
        <v>7.4626865671641784E-2</v>
      </c>
      <c r="AA13" s="25">
        <f t="shared" si="10"/>
        <v>3.8167938931297718E-2</v>
      </c>
      <c r="AB13" s="25">
        <f t="shared" si="11"/>
        <v>3.6269430051813475E-2</v>
      </c>
      <c r="AC13" s="25">
        <f t="shared" si="12"/>
        <v>3.6269430051813475E-2</v>
      </c>
      <c r="AD13" s="25">
        <f t="shared" si="13"/>
        <v>3.6269430051813475E-2</v>
      </c>
      <c r="AE13" s="25">
        <f t="shared" si="14"/>
        <v>7.4626865671641784E-2</v>
      </c>
      <c r="AF13" s="25">
        <f t="shared" si="15"/>
        <v>7.4626865671641784E-2</v>
      </c>
      <c r="AG13" s="39">
        <f t="shared" si="16"/>
        <v>5.1738971558377096E-2</v>
      </c>
      <c r="AH13" s="1"/>
      <c r="AI13" s="96">
        <f t="shared" si="17"/>
        <v>0.78136387634268645</v>
      </c>
      <c r="AJ13" s="97">
        <f t="shared" si="18"/>
        <v>15.102037261430166</v>
      </c>
    </row>
    <row r="14" spans="1:42" ht="15" thickBot="1" x14ac:dyDescent="0.35">
      <c r="A14" s="1"/>
      <c r="B14" s="50" t="s">
        <v>26</v>
      </c>
      <c r="C14" s="68">
        <f>1/M4</f>
        <v>7</v>
      </c>
      <c r="D14" s="64">
        <f>1/M5</f>
        <v>1</v>
      </c>
      <c r="E14" s="64">
        <f>1/M6</f>
        <v>7</v>
      </c>
      <c r="F14" s="64">
        <f>1/M7</f>
        <v>1</v>
      </c>
      <c r="G14" s="64">
        <f>1/M8</f>
        <v>1</v>
      </c>
      <c r="H14" s="64">
        <f>1/M9</f>
        <v>1</v>
      </c>
      <c r="I14" s="64">
        <f>1/M10</f>
        <v>1</v>
      </c>
      <c r="J14" s="64">
        <f>1/M11</f>
        <v>7</v>
      </c>
      <c r="K14" s="64">
        <f>1/M12</f>
        <v>7</v>
      </c>
      <c r="L14" s="64">
        <f>1/M13</f>
        <v>3</v>
      </c>
      <c r="M14" s="64">
        <v>1</v>
      </c>
      <c r="N14" s="64">
        <v>1</v>
      </c>
      <c r="O14" s="64">
        <v>1</v>
      </c>
      <c r="P14" s="64">
        <v>7</v>
      </c>
      <c r="Q14" s="16">
        <v>7</v>
      </c>
      <c r="R14" s="25">
        <f t="shared" si="1"/>
        <v>0.1044776119402985</v>
      </c>
      <c r="S14" s="25">
        <f t="shared" si="2"/>
        <v>0.10880829015544043</v>
      </c>
      <c r="T14" s="25">
        <f t="shared" si="3"/>
        <v>0.1044776119402985</v>
      </c>
      <c r="U14" s="25">
        <f t="shared" si="4"/>
        <v>0.10880829015544043</v>
      </c>
      <c r="V14" s="25">
        <f t="shared" si="5"/>
        <v>0.10880829015544043</v>
      </c>
      <c r="W14" s="25">
        <f t="shared" si="6"/>
        <v>0.10880829015544043</v>
      </c>
      <c r="X14" s="25">
        <f t="shared" si="7"/>
        <v>0.10880829015544043</v>
      </c>
      <c r="Y14" s="25">
        <f t="shared" si="8"/>
        <v>0.1044776119402985</v>
      </c>
      <c r="Z14" s="25">
        <f t="shared" si="9"/>
        <v>0.1044776119402985</v>
      </c>
      <c r="AA14" s="25">
        <f t="shared" si="10"/>
        <v>0.11450381679389315</v>
      </c>
      <c r="AB14" s="25">
        <f t="shared" si="11"/>
        <v>0.10880829015544043</v>
      </c>
      <c r="AC14" s="25">
        <f t="shared" si="12"/>
        <v>0.10880829015544043</v>
      </c>
      <c r="AD14" s="25">
        <f t="shared" si="13"/>
        <v>0.10880829015544043</v>
      </c>
      <c r="AE14" s="25">
        <f t="shared" si="14"/>
        <v>0.1044776119402985</v>
      </c>
      <c r="AF14" s="25">
        <f t="shared" si="15"/>
        <v>0.1044776119402985</v>
      </c>
      <c r="AG14" s="39">
        <f t="shared" si="16"/>
        <v>0.1074557206452805</v>
      </c>
      <c r="AH14" s="1"/>
      <c r="AI14" s="96">
        <f t="shared" si="17"/>
        <v>1.6351695227930279</v>
      </c>
      <c r="AJ14" s="97">
        <f t="shared" si="18"/>
        <v>15.21714723956714</v>
      </c>
    </row>
    <row r="15" spans="1:42" ht="15" thickBot="1" x14ac:dyDescent="0.35">
      <c r="A15" s="1"/>
      <c r="B15" s="48" t="s">
        <v>30</v>
      </c>
      <c r="C15" s="68">
        <f>1/N4</f>
        <v>7</v>
      </c>
      <c r="D15" s="64">
        <f>1/N5</f>
        <v>1</v>
      </c>
      <c r="E15" s="64">
        <f>1/N6</f>
        <v>7</v>
      </c>
      <c r="F15" s="64">
        <f>1/N7</f>
        <v>1</v>
      </c>
      <c r="G15" s="64">
        <f>1/N8</f>
        <v>1</v>
      </c>
      <c r="H15" s="64">
        <f>1/N9</f>
        <v>1</v>
      </c>
      <c r="I15" s="64">
        <f>1/N10</f>
        <v>1</v>
      </c>
      <c r="J15" s="64">
        <f>1/N11</f>
        <v>7</v>
      </c>
      <c r="K15" s="64">
        <f>1/N12</f>
        <v>7</v>
      </c>
      <c r="L15" s="64">
        <f>1/N13</f>
        <v>3</v>
      </c>
      <c r="M15" s="64">
        <f>1/N14</f>
        <v>1</v>
      </c>
      <c r="N15" s="64">
        <v>1</v>
      </c>
      <c r="O15" s="64">
        <v>1</v>
      </c>
      <c r="P15" s="64">
        <v>7</v>
      </c>
      <c r="Q15" s="16">
        <v>7</v>
      </c>
      <c r="R15" s="25">
        <f t="shared" si="1"/>
        <v>0.1044776119402985</v>
      </c>
      <c r="S15" s="25">
        <f t="shared" si="2"/>
        <v>0.10880829015544043</v>
      </c>
      <c r="T15" s="25">
        <f t="shared" si="3"/>
        <v>0.1044776119402985</v>
      </c>
      <c r="U15" s="25">
        <f t="shared" si="4"/>
        <v>0.10880829015544043</v>
      </c>
      <c r="V15" s="25">
        <f t="shared" si="5"/>
        <v>0.10880829015544043</v>
      </c>
      <c r="W15" s="25">
        <f t="shared" si="6"/>
        <v>0.10880829015544043</v>
      </c>
      <c r="X15" s="25">
        <f t="shared" si="7"/>
        <v>0.10880829015544043</v>
      </c>
      <c r="Y15" s="25">
        <f t="shared" si="8"/>
        <v>0.1044776119402985</v>
      </c>
      <c r="Z15" s="25">
        <f t="shared" si="9"/>
        <v>0.1044776119402985</v>
      </c>
      <c r="AA15" s="25">
        <f t="shared" si="10"/>
        <v>0.11450381679389315</v>
      </c>
      <c r="AB15" s="25">
        <f t="shared" si="11"/>
        <v>0.10880829015544043</v>
      </c>
      <c r="AC15" s="25">
        <f t="shared" si="12"/>
        <v>0.10880829015544043</v>
      </c>
      <c r="AD15" s="25">
        <f t="shared" si="13"/>
        <v>0.10880829015544043</v>
      </c>
      <c r="AE15" s="25">
        <f t="shared" si="14"/>
        <v>0.1044776119402985</v>
      </c>
      <c r="AF15" s="25">
        <f t="shared" si="15"/>
        <v>0.1044776119402985</v>
      </c>
      <c r="AG15" s="39">
        <f t="shared" si="16"/>
        <v>0.1074557206452805</v>
      </c>
      <c r="AH15" s="1"/>
      <c r="AI15" s="96">
        <f t="shared" si="17"/>
        <v>1.6351695227930279</v>
      </c>
      <c r="AJ15" s="97">
        <f t="shared" si="18"/>
        <v>15.21714723956714</v>
      </c>
    </row>
    <row r="16" spans="1:42" ht="15" thickBot="1" x14ac:dyDescent="0.35">
      <c r="A16" s="1"/>
      <c r="B16" s="50" t="s">
        <v>28</v>
      </c>
      <c r="C16" s="68">
        <f>1/O4</f>
        <v>7</v>
      </c>
      <c r="D16" s="64">
        <f>1/O5</f>
        <v>1</v>
      </c>
      <c r="E16" s="64">
        <f>1/O6</f>
        <v>7</v>
      </c>
      <c r="F16" s="64">
        <f>1/O7</f>
        <v>1</v>
      </c>
      <c r="G16" s="64">
        <f>1/O8</f>
        <v>1</v>
      </c>
      <c r="H16" s="64">
        <f>1/O9</f>
        <v>1</v>
      </c>
      <c r="I16" s="64">
        <f>1/O10</f>
        <v>1</v>
      </c>
      <c r="J16" s="64">
        <f>1/O11</f>
        <v>7</v>
      </c>
      <c r="K16" s="64">
        <f>1/O12</f>
        <v>7</v>
      </c>
      <c r="L16" s="64">
        <f>1/O13</f>
        <v>3</v>
      </c>
      <c r="M16" s="64">
        <f>1/O14</f>
        <v>1</v>
      </c>
      <c r="N16" s="64">
        <f>1/O15</f>
        <v>1</v>
      </c>
      <c r="O16" s="64">
        <v>1</v>
      </c>
      <c r="P16" s="64">
        <v>7</v>
      </c>
      <c r="Q16" s="16">
        <v>7</v>
      </c>
      <c r="R16" s="25">
        <f t="shared" si="1"/>
        <v>0.1044776119402985</v>
      </c>
      <c r="S16" s="25">
        <f t="shared" si="2"/>
        <v>0.10880829015544043</v>
      </c>
      <c r="T16" s="25">
        <f t="shared" si="3"/>
        <v>0.1044776119402985</v>
      </c>
      <c r="U16" s="25">
        <f t="shared" si="4"/>
        <v>0.10880829015544043</v>
      </c>
      <c r="V16" s="25">
        <f t="shared" si="5"/>
        <v>0.10880829015544043</v>
      </c>
      <c r="W16" s="25">
        <f t="shared" si="6"/>
        <v>0.10880829015544043</v>
      </c>
      <c r="X16" s="25">
        <f t="shared" si="7"/>
        <v>0.10880829015544043</v>
      </c>
      <c r="Y16" s="25">
        <f t="shared" si="8"/>
        <v>0.1044776119402985</v>
      </c>
      <c r="Z16" s="25">
        <f t="shared" si="9"/>
        <v>0.1044776119402985</v>
      </c>
      <c r="AA16" s="25">
        <f t="shared" si="10"/>
        <v>0.11450381679389315</v>
      </c>
      <c r="AB16" s="25">
        <f t="shared" si="11"/>
        <v>0.10880829015544043</v>
      </c>
      <c r="AC16" s="25">
        <f t="shared" si="12"/>
        <v>0.10880829015544043</v>
      </c>
      <c r="AD16" s="25">
        <f t="shared" si="13"/>
        <v>0.10880829015544043</v>
      </c>
      <c r="AE16" s="25">
        <f t="shared" si="14"/>
        <v>0.1044776119402985</v>
      </c>
      <c r="AF16" s="25">
        <f t="shared" si="15"/>
        <v>0.1044776119402985</v>
      </c>
      <c r="AG16" s="39">
        <f t="shared" si="16"/>
        <v>0.1074557206452805</v>
      </c>
      <c r="AH16" s="1"/>
      <c r="AI16" s="96">
        <f t="shared" si="17"/>
        <v>1.6351695227930279</v>
      </c>
      <c r="AJ16" s="97">
        <f t="shared" si="18"/>
        <v>15.21714723956714</v>
      </c>
    </row>
    <row r="17" spans="1:36" ht="15" thickBot="1" x14ac:dyDescent="0.35">
      <c r="A17" s="1"/>
      <c r="B17" s="50" t="s">
        <v>23</v>
      </c>
      <c r="C17" s="68">
        <f>1/P4</f>
        <v>1</v>
      </c>
      <c r="D17" s="64">
        <f>1/P5</f>
        <v>0.14285714285714285</v>
      </c>
      <c r="E17" s="64">
        <f>1/P6</f>
        <v>1</v>
      </c>
      <c r="F17" s="64">
        <f>1/P7</f>
        <v>0.14285714285714285</v>
      </c>
      <c r="G17" s="64">
        <f>1/P8</f>
        <v>0.14285714285714285</v>
      </c>
      <c r="H17" s="64">
        <f>1/P9</f>
        <v>0.14285714285714285</v>
      </c>
      <c r="I17" s="64">
        <f>1/P10</f>
        <v>0.14285714285714285</v>
      </c>
      <c r="J17" s="64">
        <f>1/P11</f>
        <v>1</v>
      </c>
      <c r="K17" s="64">
        <f>1/P12</f>
        <v>1</v>
      </c>
      <c r="L17" s="64">
        <f>1/P13</f>
        <v>0.2</v>
      </c>
      <c r="M17" s="64">
        <f>1/P14</f>
        <v>0.14285714285714285</v>
      </c>
      <c r="N17" s="64">
        <f>1/P15</f>
        <v>0.14285714285714285</v>
      </c>
      <c r="O17" s="64">
        <f>1/P16</f>
        <v>0.14285714285714285</v>
      </c>
      <c r="P17" s="64">
        <v>1</v>
      </c>
      <c r="Q17" s="16">
        <v>1</v>
      </c>
      <c r="R17" s="25">
        <f t="shared" si="1"/>
        <v>1.4925373134328358E-2</v>
      </c>
      <c r="S17" s="25">
        <f t="shared" si="2"/>
        <v>1.5544041450777202E-2</v>
      </c>
      <c r="T17" s="25">
        <f t="shared" si="3"/>
        <v>1.4925373134328358E-2</v>
      </c>
      <c r="U17" s="25">
        <f t="shared" si="4"/>
        <v>1.5544041450777202E-2</v>
      </c>
      <c r="V17" s="25">
        <f t="shared" si="5"/>
        <v>1.5544041450777202E-2</v>
      </c>
      <c r="W17" s="25">
        <f t="shared" si="6"/>
        <v>1.5544041450777202E-2</v>
      </c>
      <c r="X17" s="25">
        <f t="shared" si="7"/>
        <v>1.5544041450777202E-2</v>
      </c>
      <c r="Y17" s="25">
        <f t="shared" si="8"/>
        <v>1.4925373134328358E-2</v>
      </c>
      <c r="Z17" s="25">
        <f t="shared" si="9"/>
        <v>1.4925373134328358E-2</v>
      </c>
      <c r="AA17" s="25">
        <f t="shared" si="10"/>
        <v>7.6335877862595434E-3</v>
      </c>
      <c r="AB17" s="25">
        <f t="shared" si="11"/>
        <v>1.5544041450777202E-2</v>
      </c>
      <c r="AC17" s="25">
        <f t="shared" si="12"/>
        <v>1.5544041450777202E-2</v>
      </c>
      <c r="AD17" s="25">
        <f t="shared" si="13"/>
        <v>1.5544041450777202E-2</v>
      </c>
      <c r="AE17" s="25">
        <f t="shared" si="14"/>
        <v>1.4925373134328358E-2</v>
      </c>
      <c r="AF17" s="25">
        <f t="shared" si="15"/>
        <v>1.4925373134328358E-2</v>
      </c>
      <c r="AG17" s="39">
        <f t="shared" si="16"/>
        <v>1.4769210546563154E-2</v>
      </c>
      <c r="AH17" s="1"/>
      <c r="AI17" s="96">
        <f t="shared" si="17"/>
        <v>0.22176959547137493</v>
      </c>
      <c r="AJ17" s="97">
        <f t="shared" si="18"/>
        <v>15.015670253477527</v>
      </c>
    </row>
    <row r="18" spans="1:36" ht="15" thickBot="1" x14ac:dyDescent="0.35">
      <c r="A18" s="1"/>
      <c r="B18" s="48" t="s">
        <v>21</v>
      </c>
      <c r="C18" s="69">
        <f>1/Q4</f>
        <v>1</v>
      </c>
      <c r="D18" s="70">
        <f>1/Q5</f>
        <v>0.14285714285714285</v>
      </c>
      <c r="E18" s="70">
        <f>1/Q6</f>
        <v>1</v>
      </c>
      <c r="F18" s="70">
        <f>1/Q7</f>
        <v>0.14285714285714285</v>
      </c>
      <c r="G18" s="70">
        <f>1/Q8</f>
        <v>0.14285714285714285</v>
      </c>
      <c r="H18" s="70">
        <f>1/Q9</f>
        <v>0.14285714285714285</v>
      </c>
      <c r="I18" s="70">
        <f>1/Q10</f>
        <v>0.14285714285714285</v>
      </c>
      <c r="J18" s="70">
        <f>1/Q11</f>
        <v>1</v>
      </c>
      <c r="K18" s="70">
        <f>1/Q12</f>
        <v>1</v>
      </c>
      <c r="L18" s="70">
        <f>1/Q13</f>
        <v>0.2</v>
      </c>
      <c r="M18" s="70">
        <f>1/Q14</f>
        <v>0.14285714285714285</v>
      </c>
      <c r="N18" s="70">
        <f>1/Q15</f>
        <v>0.14285714285714285</v>
      </c>
      <c r="O18" s="70">
        <f>1/Q16</f>
        <v>0.14285714285714285</v>
      </c>
      <c r="P18" s="70">
        <f>1/Q17</f>
        <v>1</v>
      </c>
      <c r="Q18" s="17">
        <v>1</v>
      </c>
      <c r="R18" s="25">
        <f t="shared" si="1"/>
        <v>1.4925373134328358E-2</v>
      </c>
      <c r="S18" s="25">
        <f t="shared" si="2"/>
        <v>1.5544041450777202E-2</v>
      </c>
      <c r="T18" s="25">
        <f t="shared" si="3"/>
        <v>1.4925373134328358E-2</v>
      </c>
      <c r="U18" s="25">
        <f t="shared" si="4"/>
        <v>1.5544041450777202E-2</v>
      </c>
      <c r="V18" s="25">
        <f t="shared" si="5"/>
        <v>1.5544041450777202E-2</v>
      </c>
      <c r="W18" s="25">
        <f t="shared" si="6"/>
        <v>1.5544041450777202E-2</v>
      </c>
      <c r="X18" s="25">
        <f t="shared" si="7"/>
        <v>1.5544041450777202E-2</v>
      </c>
      <c r="Y18" s="25">
        <f t="shared" si="8"/>
        <v>1.4925373134328358E-2</v>
      </c>
      <c r="Z18" s="25">
        <f t="shared" si="9"/>
        <v>1.4925373134328358E-2</v>
      </c>
      <c r="AA18" s="25">
        <f t="shared" si="10"/>
        <v>7.6335877862595434E-3</v>
      </c>
      <c r="AB18" s="25">
        <f t="shared" si="11"/>
        <v>1.5544041450777202E-2</v>
      </c>
      <c r="AC18" s="25">
        <f t="shared" si="12"/>
        <v>1.5544041450777202E-2</v>
      </c>
      <c r="AD18" s="25">
        <f t="shared" si="13"/>
        <v>1.5544041450777202E-2</v>
      </c>
      <c r="AE18" s="25">
        <f t="shared" si="14"/>
        <v>1.4925373134328358E-2</v>
      </c>
      <c r="AF18" s="25">
        <f t="shared" si="15"/>
        <v>1.4925373134328358E-2</v>
      </c>
      <c r="AG18" s="34">
        <f t="shared" si="16"/>
        <v>1.4769210546563154E-2</v>
      </c>
      <c r="AH18" s="1"/>
      <c r="AI18" s="96">
        <f t="shared" si="17"/>
        <v>0.22176959547137493</v>
      </c>
      <c r="AJ18" s="97">
        <f t="shared" si="18"/>
        <v>15.015670253477527</v>
      </c>
    </row>
    <row r="19" spans="1:36" ht="14.5" thickBot="1" x14ac:dyDescent="0.35">
      <c r="A19" s="1"/>
      <c r="B19" s="99" t="s">
        <v>7</v>
      </c>
      <c r="C19" s="114">
        <f t="shared" ref="C19:P19" si="19">SUM(C4:C18)</f>
        <v>67</v>
      </c>
      <c r="D19" s="115">
        <f t="shared" si="19"/>
        <v>9.1904761904761898</v>
      </c>
      <c r="E19" s="115">
        <f t="shared" si="19"/>
        <v>67</v>
      </c>
      <c r="F19" s="115">
        <f t="shared" si="19"/>
        <v>9.1904761904761898</v>
      </c>
      <c r="G19" s="115">
        <f t="shared" si="19"/>
        <v>9.1904761904761898</v>
      </c>
      <c r="H19" s="115">
        <f t="shared" si="19"/>
        <v>9.1904761904761898</v>
      </c>
      <c r="I19" s="115">
        <f t="shared" si="19"/>
        <v>9.1904761904761898</v>
      </c>
      <c r="J19" s="115">
        <f t="shared" si="19"/>
        <v>67</v>
      </c>
      <c r="K19" s="115">
        <f t="shared" si="19"/>
        <v>67</v>
      </c>
      <c r="L19" s="115">
        <f t="shared" si="19"/>
        <v>26.199999999999996</v>
      </c>
      <c r="M19" s="115">
        <f t="shared" si="19"/>
        <v>9.1904761904761898</v>
      </c>
      <c r="N19" s="115">
        <f t="shared" si="19"/>
        <v>9.1904761904761898</v>
      </c>
      <c r="O19" s="115">
        <f t="shared" si="19"/>
        <v>9.1904761904761898</v>
      </c>
      <c r="P19" s="115">
        <f t="shared" si="19"/>
        <v>67</v>
      </c>
      <c r="Q19" s="116">
        <f t="shared" ref="Q19" si="20">SUM(Q4:Q18)</f>
        <v>67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6" ht="14.5" thickBot="1" x14ac:dyDescent="0.35">
      <c r="B20" s="117" t="s">
        <v>9</v>
      </c>
      <c r="C20" s="118">
        <f>AG4</f>
        <v>1.4769210546563154E-2</v>
      </c>
      <c r="D20" s="118">
        <f>AG5</f>
        <v>0.1074557206452805</v>
      </c>
      <c r="E20" s="118">
        <f>AG6</f>
        <v>1.4769210546563154E-2</v>
      </c>
      <c r="F20" s="118">
        <f>AG7</f>
        <v>0.1074557206452805</v>
      </c>
      <c r="G20" s="118">
        <f>AG8</f>
        <v>0.1074557206452805</v>
      </c>
      <c r="H20" s="118">
        <f>AG9</f>
        <v>0.1074557206452805</v>
      </c>
      <c r="I20" s="118">
        <f>AG10</f>
        <v>0.1074557206452805</v>
      </c>
      <c r="J20" s="118">
        <f>AG11</f>
        <v>1.4769210546563154E-2</v>
      </c>
      <c r="K20" s="118">
        <f>AG12</f>
        <v>1.4769210546563154E-2</v>
      </c>
      <c r="L20" s="118">
        <f>AG13</f>
        <v>5.1738971558377096E-2</v>
      </c>
      <c r="M20" s="118">
        <f>AG14</f>
        <v>0.1074557206452805</v>
      </c>
      <c r="N20" s="118">
        <f>AG15</f>
        <v>0.1074557206452805</v>
      </c>
      <c r="O20" s="118">
        <f>AG16</f>
        <v>0.1074557206452805</v>
      </c>
      <c r="P20" s="118">
        <f>AG17</f>
        <v>1.4769210546563154E-2</v>
      </c>
      <c r="Q20" s="119">
        <f>AG18</f>
        <v>1.4769210546563154E-2</v>
      </c>
    </row>
    <row r="22" spans="1:36" ht="14.5" thickBot="1" x14ac:dyDescent="0.35"/>
    <row r="23" spans="1:36" ht="14.5" thickBot="1" x14ac:dyDescent="0.35">
      <c r="B23" s="184" t="s">
        <v>52</v>
      </c>
      <c r="C23" s="185"/>
      <c r="D23" s="185"/>
      <c r="E23" s="185"/>
      <c r="F23" s="185"/>
      <c r="G23" s="185"/>
      <c r="H23" s="185"/>
      <c r="I23" s="186"/>
    </row>
    <row r="24" spans="1:36" x14ac:dyDescent="0.3">
      <c r="B24" s="102"/>
      <c r="C24" s="103" t="s">
        <v>47</v>
      </c>
      <c r="D24" s="103"/>
      <c r="E24" s="103" t="s">
        <v>48</v>
      </c>
      <c r="F24" s="103"/>
      <c r="G24" s="103" t="s">
        <v>49</v>
      </c>
      <c r="H24" s="103" t="s">
        <v>50</v>
      </c>
      <c r="I24" s="104" t="s">
        <v>51</v>
      </c>
    </row>
    <row r="25" spans="1:36" x14ac:dyDescent="0.3">
      <c r="B25" s="105">
        <v>1</v>
      </c>
      <c r="C25" s="3">
        <f>(30*(1-0.5249)+25*(1-0.6298))</f>
        <v>23.507999999999996</v>
      </c>
      <c r="D25" s="101"/>
      <c r="E25" s="110">
        <f>C25/$C$28</f>
        <v>0.21171130603937391</v>
      </c>
      <c r="F25" s="101"/>
      <c r="G25" s="101">
        <v>1.2</v>
      </c>
      <c r="H25" s="111">
        <f>E25/E26</f>
        <v>0.57958579881656802</v>
      </c>
      <c r="I25" s="106">
        <v>5</v>
      </c>
    </row>
    <row r="26" spans="1:36" x14ac:dyDescent="0.3">
      <c r="B26" s="105">
        <v>2</v>
      </c>
      <c r="C26" s="3">
        <f>(30*(1-0.324)+30*(1-0.324))</f>
        <v>40.559999999999995</v>
      </c>
      <c r="D26" s="101"/>
      <c r="E26" s="110">
        <f t="shared" ref="E26:E27" si="21">C26/$C$28</f>
        <v>0.36528035447324342</v>
      </c>
      <c r="F26" s="101"/>
      <c r="G26" s="101">
        <v>1.3</v>
      </c>
      <c r="H26" s="111">
        <f>E25/E27</f>
        <v>0.500489674260166</v>
      </c>
      <c r="I26" s="106">
        <v>7</v>
      </c>
    </row>
    <row r="27" spans="1:36" ht="14.5" thickBot="1" x14ac:dyDescent="0.35">
      <c r="B27" s="107">
        <v>3</v>
      </c>
      <c r="C27" s="18">
        <f>(30*(1-0.4364)+25*(1-0.4622)+30*(1-0.4461))</f>
        <v>46.97</v>
      </c>
      <c r="D27" s="108"/>
      <c r="E27" s="112">
        <f t="shared" si="21"/>
        <v>0.42300833948738276</v>
      </c>
      <c r="F27" s="108"/>
      <c r="G27" s="108">
        <v>2.2999999999999998</v>
      </c>
      <c r="H27" s="113">
        <f>E26/E27</f>
        <v>0.86352991271024049</v>
      </c>
      <c r="I27" s="109">
        <v>3</v>
      </c>
    </row>
    <row r="28" spans="1:36" x14ac:dyDescent="0.3">
      <c r="C28" s="100">
        <f>SUM(C25:C27)</f>
        <v>111.03799999999998</v>
      </c>
    </row>
  </sheetData>
  <mergeCells count="3">
    <mergeCell ref="B2:AG2"/>
    <mergeCell ref="R3:AF3"/>
    <mergeCell ref="B23:I23"/>
  </mergeCells>
  <conditionalFormatting sqref="AP4">
    <cfRule type="cellIs" dxfId="9" priority="1" operator="greaterThan">
      <formula>0.1</formula>
    </cfRule>
    <cfRule type="cellIs" dxfId="8" priority="2" operator="lessThan">
      <formula>0.1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BC64-B257-4A23-94FD-C0E8A60073C5}">
  <dimension ref="A1:AP39"/>
  <sheetViews>
    <sheetView tabSelected="1" topLeftCell="A2" zoomScale="44" zoomScaleNormal="85" workbookViewId="0">
      <selection activeCell="C4" sqref="C4:Q18"/>
    </sheetView>
  </sheetViews>
  <sheetFormatPr baseColWidth="10" defaultRowHeight="14" x14ac:dyDescent="0.3"/>
  <cols>
    <col min="1" max="1" width="10.90625" style="44"/>
    <col min="2" max="2" width="25.08984375" style="44" customWidth="1"/>
    <col min="3" max="3" width="10.6328125" style="44" customWidth="1"/>
    <col min="4" max="4" width="16.36328125" style="44" bestFit="1" customWidth="1"/>
    <col min="5" max="11" width="10.6328125" style="44" customWidth="1"/>
    <col min="12" max="17" width="10.90625" style="44"/>
    <col min="18" max="32" width="7.81640625" style="44" customWidth="1"/>
    <col min="33" max="16384" width="10.90625" style="44"/>
  </cols>
  <sheetData>
    <row r="1" spans="1:42" ht="14.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42" ht="14.5" thickBot="1" x14ac:dyDescent="0.35">
      <c r="A2" s="1"/>
      <c r="B2" s="165" t="s">
        <v>17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7"/>
      <c r="AH2" s="1"/>
    </row>
    <row r="3" spans="1:42" s="47" customFormat="1" ht="42.5" thickBot="1" x14ac:dyDescent="0.35">
      <c r="A3" s="1"/>
      <c r="B3" s="12" t="s">
        <v>0</v>
      </c>
      <c r="C3" s="45" t="s">
        <v>22</v>
      </c>
      <c r="D3" s="45" t="s">
        <v>29</v>
      </c>
      <c r="E3" s="14" t="s">
        <v>18</v>
      </c>
      <c r="F3" s="46" t="s">
        <v>24</v>
      </c>
      <c r="G3" s="46" t="s">
        <v>31</v>
      </c>
      <c r="H3" s="45" t="s">
        <v>25</v>
      </c>
      <c r="I3" s="45" t="s">
        <v>27</v>
      </c>
      <c r="J3" s="46" t="s">
        <v>20</v>
      </c>
      <c r="K3" s="45" t="s">
        <v>19</v>
      </c>
      <c r="L3" s="46" t="s">
        <v>32</v>
      </c>
      <c r="M3" s="46" t="s">
        <v>26</v>
      </c>
      <c r="N3" s="45" t="s">
        <v>30</v>
      </c>
      <c r="O3" s="46" t="s">
        <v>28</v>
      </c>
      <c r="P3" s="46" t="s">
        <v>23</v>
      </c>
      <c r="Q3" s="45" t="s">
        <v>21</v>
      </c>
      <c r="R3" s="168" t="s">
        <v>8</v>
      </c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69"/>
      <c r="AG3" s="12" t="s">
        <v>12</v>
      </c>
      <c r="AH3" s="1"/>
      <c r="AI3" s="14" t="s">
        <v>43</v>
      </c>
      <c r="AJ3" s="12" t="s">
        <v>41</v>
      </c>
      <c r="AK3" s="12" t="s">
        <v>45</v>
      </c>
      <c r="AL3" s="12" t="s">
        <v>44</v>
      </c>
      <c r="AM3" s="12" t="s">
        <v>46</v>
      </c>
      <c r="AN3" s="1"/>
      <c r="AO3" s="12" t="s">
        <v>42</v>
      </c>
      <c r="AP3" s="39">
        <f>(AK4-AL4)/(AL4-1)</f>
        <v>5.8810545283231139E-2</v>
      </c>
    </row>
    <row r="4" spans="1:42" ht="15" thickBot="1" x14ac:dyDescent="0.35">
      <c r="A4" s="1"/>
      <c r="B4" s="48" t="s">
        <v>22</v>
      </c>
      <c r="C4" s="67">
        <f>IF(F24&lt;0,"r",
IF(F24=0,1,
IF(AND(F24&gt;=1,F24&lt;=1.25),1,
IF(AND(F24&gt;1.25,F24&lt;=1.5),3,
IF(AND(F24&gt;1.5,F24&lt;=2),5,
IF(AND(F24&gt;2,F24&lt;=3),7,
IF(F24&gt;3,9,
"")))))))</f>
        <v>1</v>
      </c>
      <c r="D4" s="67">
        <v>1</v>
      </c>
      <c r="E4" s="67">
        <v>0.33333333333333331</v>
      </c>
      <c r="F4" s="67">
        <v>1</v>
      </c>
      <c r="G4" s="67">
        <v>0.33333333333333331</v>
      </c>
      <c r="H4" s="67">
        <v>0.33333333333333331</v>
      </c>
      <c r="I4" s="67">
        <f t="shared" ref="D4:Q4" si="0">IF(L24&lt;0,"r",
IF(L24=0,1,
IF(AND(L24&gt;=1,L24&lt;=1.25),1,
IF(AND(L24&gt;1.25,L24&lt;=1.5),3,
IF(AND(L24&gt;1.5,L24&lt;=2),5,
IF(AND(L24&gt;2,L24&lt;=3),7,
IF(L24&gt;3,9,
"")))))))</f>
        <v>7</v>
      </c>
      <c r="J4" s="67">
        <f t="shared" si="0"/>
        <v>7</v>
      </c>
      <c r="K4" s="67">
        <v>1</v>
      </c>
      <c r="L4" s="67">
        <v>1</v>
      </c>
      <c r="M4" s="67">
        <f t="shared" si="0"/>
        <v>9</v>
      </c>
      <c r="N4" s="67">
        <v>0.33333333333333331</v>
      </c>
      <c r="O4" s="67">
        <f t="shared" si="0"/>
        <v>7</v>
      </c>
      <c r="P4" s="67">
        <f t="shared" si="0"/>
        <v>7</v>
      </c>
      <c r="Q4" s="67">
        <f t="shared" si="0"/>
        <v>7</v>
      </c>
      <c r="R4" s="36">
        <f>C4/C$19</f>
        <v>5.609973285841497E-2</v>
      </c>
      <c r="S4" s="25">
        <f t="shared" ref="S4:AF4" si="1">D4/D$19</f>
        <v>5.609973285841497E-2</v>
      </c>
      <c r="T4" s="25">
        <f t="shared" si="1"/>
        <v>5.2631578947368446E-2</v>
      </c>
      <c r="U4" s="25">
        <f t="shared" si="1"/>
        <v>5.609973285841497E-2</v>
      </c>
      <c r="V4" s="25">
        <f t="shared" si="1"/>
        <v>5.2631578947368446E-2</v>
      </c>
      <c r="W4" s="25">
        <f t="shared" si="1"/>
        <v>5.2631578947368446E-2</v>
      </c>
      <c r="X4" s="25">
        <f t="shared" si="1"/>
        <v>9.2511013215859042E-2</v>
      </c>
      <c r="Y4" s="25">
        <f t="shared" si="1"/>
        <v>9.2511013215859042E-2</v>
      </c>
      <c r="Z4" s="25">
        <f t="shared" si="1"/>
        <v>5.609973285841497E-2</v>
      </c>
      <c r="AA4" s="25">
        <f t="shared" si="1"/>
        <v>5.619982158786798E-2</v>
      </c>
      <c r="AB4" s="25">
        <f t="shared" si="1"/>
        <v>9.4736842105263161E-2</v>
      </c>
      <c r="AC4" s="25">
        <f t="shared" si="1"/>
        <v>5.2631578947368446E-2</v>
      </c>
      <c r="AD4" s="25">
        <f t="shared" si="1"/>
        <v>8.0459770114942528E-2</v>
      </c>
      <c r="AE4" s="25">
        <f t="shared" si="1"/>
        <v>9.2511013215859042E-2</v>
      </c>
      <c r="AF4" s="75">
        <f t="shared" si="1"/>
        <v>9.2511013215859042E-2</v>
      </c>
      <c r="AG4" s="39">
        <f>AVERAGE(R4:AF4)</f>
        <v>6.9091048926309559E-2</v>
      </c>
      <c r="AH4" s="1"/>
      <c r="AI4" s="96">
        <f>SUMPRODUCT(C4:Q4,$C$20:$Q$20)</f>
        <v>1.1193946585855086</v>
      </c>
      <c r="AJ4" s="97">
        <f>AI4/AG4</f>
        <v>16.201732004089578</v>
      </c>
      <c r="AK4" s="98">
        <f>AVERAGE(AJ4:AJ18)</f>
        <v>15.823347633965236</v>
      </c>
      <c r="AL4" s="98">
        <v>15</v>
      </c>
      <c r="AM4" s="97">
        <f>(1.86668*(15-2))/15</f>
        <v>1.6177893333333333</v>
      </c>
      <c r="AN4" s="35"/>
      <c r="AO4" s="92" t="s">
        <v>10</v>
      </c>
      <c r="AP4" s="34">
        <f>AP3/AM4</f>
        <v>3.6352412561687766E-2</v>
      </c>
    </row>
    <row r="5" spans="1:42" ht="15" thickBot="1" x14ac:dyDescent="0.35">
      <c r="A5" s="1"/>
      <c r="B5" s="48" t="s">
        <v>29</v>
      </c>
      <c r="C5" s="67">
        <f t="shared" ref="C5:C18" si="2">IF(F25&lt;0,"r",
IF(F25=0,1,
IF(AND(F25&gt;=1,F25&lt;=1.25),1,
IF(AND(F25&gt;1.25,F25&lt;=1.5),3,
IF(AND(F25&gt;1.5,F25&lt;=2),5,
IF(AND(F25&gt;2,F25&lt;=3),7,
IF(F25&gt;3,9,
"")))))))</f>
        <v>1</v>
      </c>
      <c r="D5" s="67">
        <f t="shared" ref="D5:D18" si="3">IF(G25&lt;0,"r",
IF(G25=0,1,
IF(AND(G25&gt;=1,G25&lt;=1.25),1,
IF(AND(G25&gt;1.25,G25&lt;=1.5),3,
IF(AND(G25&gt;1.5,G25&lt;=2),5,
IF(AND(G25&gt;2,G25&lt;=3),7,
IF(G25&gt;3,9,
"")))))))</f>
        <v>1</v>
      </c>
      <c r="E5" s="67">
        <v>0.33333333333333331</v>
      </c>
      <c r="F5" s="67">
        <f t="shared" ref="F5:F18" si="4">IF(I25&lt;0,"r",
IF(I25=0,1,
IF(AND(I25&gt;=1,I25&lt;=1.25),1,
IF(AND(I25&gt;1.25,I25&lt;=1.5),3,
IF(AND(I25&gt;1.5,I25&lt;=2),5,
IF(AND(I25&gt;2,I25&lt;=3),7,
IF(I25&gt;3,9,
"")))))))</f>
        <v>1</v>
      </c>
      <c r="G5" s="67">
        <v>0.33333333333333331</v>
      </c>
      <c r="H5" s="67">
        <v>0.33333333333333331</v>
      </c>
      <c r="I5" s="67">
        <f t="shared" ref="I5:I18" si="5">IF(L25&lt;0,"r",
IF(L25=0,1,
IF(AND(L25&gt;=1,L25&lt;=1.25),1,
IF(AND(L25&gt;1.25,L25&lt;=1.5),3,
IF(AND(L25&gt;1.5,L25&lt;=2),5,
IF(AND(L25&gt;2,L25&lt;=3),7,
IF(L25&gt;3,9,
"")))))))</f>
        <v>7</v>
      </c>
      <c r="J5" s="67">
        <f t="shared" ref="J5:J18" si="6">IF(M25&lt;0,"r",
IF(M25=0,1,
IF(AND(M25&gt;=1,M25&lt;=1.25),1,
IF(AND(M25&gt;1.25,M25&lt;=1.5),3,
IF(AND(M25&gt;1.5,M25&lt;=2),5,
IF(AND(M25&gt;2,M25&lt;=3),7,
IF(M25&gt;3,9,
"")))))))</f>
        <v>7</v>
      </c>
      <c r="K5" s="67">
        <f t="shared" ref="K5:K18" si="7">IF(N25&lt;0,"r",
IF(N25=0,1,
IF(AND(N25&gt;=1,N25&lt;=1.25),1,
IF(AND(N25&gt;1.25,N25&lt;=1.5),3,
IF(AND(N25&gt;1.5,N25&lt;=2),5,
IF(AND(N25&gt;2,N25&lt;=3),7,
IF(N25&gt;3,9,
"")))))))</f>
        <v>1</v>
      </c>
      <c r="L5" s="67">
        <v>1</v>
      </c>
      <c r="M5" s="67">
        <f t="shared" ref="M5:M18" si="8">IF(P25&lt;0,"r",
IF(P25=0,1,
IF(AND(P25&gt;=1,P25&lt;=1.25),1,
IF(AND(P25&gt;1.25,P25&lt;=1.5),3,
IF(AND(P25&gt;1.5,P25&lt;=2),5,
IF(AND(P25&gt;2,P25&lt;=3),7,
IF(P25&gt;3,9,
"")))))))</f>
        <v>9</v>
      </c>
      <c r="N5" s="67">
        <v>0.33333333333333331</v>
      </c>
      <c r="O5" s="67">
        <f t="shared" ref="O5:O18" si="9">IF(R25&lt;0,"r",
IF(R25=0,1,
IF(AND(R25&gt;=1,R25&lt;=1.25),1,
IF(AND(R25&gt;1.25,R25&lt;=1.5),3,
IF(AND(R25&gt;1.5,R25&lt;=2),5,
IF(AND(R25&gt;2,R25&lt;=3),7,
IF(R25&gt;3,9,
"")))))))</f>
        <v>7</v>
      </c>
      <c r="P5" s="67">
        <f t="shared" ref="P5:P18" si="10">IF(S25&lt;0,"r",
IF(S25=0,1,
IF(AND(S25&gt;=1,S25&lt;=1.25),1,
IF(AND(S25&gt;1.25,S25&lt;=1.5),3,
IF(AND(S25&gt;1.5,S25&lt;=2),5,
IF(AND(S25&gt;2,S25&lt;=3),7,
IF(S25&gt;3,9,
"")))))))</f>
        <v>7</v>
      </c>
      <c r="Q5" s="67">
        <f t="shared" ref="Q5:Q18" si="11">IF(T25&lt;0,"r",
IF(T25=0,1,
IF(AND(T25&gt;=1,T25&lt;=1.25),1,
IF(AND(T25&gt;1.25,T25&lt;=1.5),3,
IF(AND(T25&gt;1.5,T25&lt;=2),5,
IF(AND(T25&gt;2,T25&lt;=3),7,
IF(T25&gt;3,9,
"")))))))</f>
        <v>7</v>
      </c>
      <c r="R5" s="36">
        <f t="shared" ref="R5:R18" si="12">C5/C$19</f>
        <v>5.609973285841497E-2</v>
      </c>
      <c r="S5" s="25">
        <f t="shared" ref="S5:S18" si="13">D5/D$19</f>
        <v>5.609973285841497E-2</v>
      </c>
      <c r="T5" s="25">
        <f t="shared" ref="T5:T18" si="14">E5/E$19</f>
        <v>5.2631578947368446E-2</v>
      </c>
      <c r="U5" s="25">
        <f t="shared" ref="U5:U18" si="15">F5/F$19</f>
        <v>5.609973285841497E-2</v>
      </c>
      <c r="V5" s="25">
        <f t="shared" ref="V5:V18" si="16">G5/G$19</f>
        <v>5.2631578947368446E-2</v>
      </c>
      <c r="W5" s="25">
        <f t="shared" ref="W5:W18" si="17">H5/H$19</f>
        <v>5.2631578947368446E-2</v>
      </c>
      <c r="X5" s="25">
        <f t="shared" ref="X5:X18" si="18">I5/I$19</f>
        <v>9.2511013215859042E-2</v>
      </c>
      <c r="Y5" s="25">
        <f t="shared" ref="Y5:Y18" si="19">J5/J$19</f>
        <v>9.2511013215859042E-2</v>
      </c>
      <c r="Z5" s="25">
        <f t="shared" ref="Z5:Z18" si="20">K5/K$19</f>
        <v>5.609973285841497E-2</v>
      </c>
      <c r="AA5" s="25">
        <f t="shared" ref="AA5:AA18" si="21">L5/L$19</f>
        <v>5.619982158786798E-2</v>
      </c>
      <c r="AB5" s="25">
        <f t="shared" ref="AB5:AB18" si="22">M5/M$19</f>
        <v>9.4736842105263161E-2</v>
      </c>
      <c r="AC5" s="25">
        <f t="shared" ref="AC5:AC18" si="23">N5/N$19</f>
        <v>5.2631578947368446E-2</v>
      </c>
      <c r="AD5" s="25">
        <f t="shared" ref="AD5:AD18" si="24">O5/O$19</f>
        <v>8.0459770114942528E-2</v>
      </c>
      <c r="AE5" s="25">
        <f t="shared" ref="AE5:AE18" si="25">P5/P$19</f>
        <v>9.2511013215859042E-2</v>
      </c>
      <c r="AF5" s="75">
        <f t="shared" ref="AF5:AF18" si="26">Q5/Q$19</f>
        <v>9.2511013215859042E-2</v>
      </c>
      <c r="AG5" s="39">
        <f t="shared" ref="AG5:AG18" si="27">AVERAGE(R5:AF5)</f>
        <v>6.9091048926309559E-2</v>
      </c>
      <c r="AH5" s="1"/>
      <c r="AI5" s="96">
        <f t="shared" ref="AI5:AI18" si="28">SUMPRODUCT(C5:Q5,$C$20:$Q$20)</f>
        <v>1.1193946585855086</v>
      </c>
      <c r="AJ5" s="97">
        <f>AI5/AG5</f>
        <v>16.201732004089578</v>
      </c>
      <c r="AK5" s="35"/>
      <c r="AL5" s="35"/>
      <c r="AM5" s="35"/>
      <c r="AN5" s="35"/>
      <c r="AO5" s="35"/>
      <c r="AP5" s="35"/>
    </row>
    <row r="6" spans="1:42" ht="15" thickBot="1" x14ac:dyDescent="0.35">
      <c r="A6" s="1"/>
      <c r="B6" s="49" t="s">
        <v>18</v>
      </c>
      <c r="C6" s="67">
        <f t="shared" si="2"/>
        <v>3</v>
      </c>
      <c r="D6" s="67">
        <f t="shared" si="3"/>
        <v>3</v>
      </c>
      <c r="E6" s="67">
        <f t="shared" ref="E5:E18" si="29">IF(H26&lt;0,"r",
IF(H26=0,1,
IF(AND(H26&gt;=1,H26&lt;=1.25),1,
IF(AND(H26&gt;1.25,H26&lt;=1.5),3,
IF(AND(H26&gt;1.5,H26&lt;=2),5,
IF(AND(H26&gt;2,H26&lt;=3),7,
IF(H26&gt;3,9,
"")))))))</f>
        <v>1</v>
      </c>
      <c r="F6" s="67">
        <f t="shared" si="4"/>
        <v>3</v>
      </c>
      <c r="G6" s="67">
        <v>1</v>
      </c>
      <c r="H6" s="67">
        <v>1</v>
      </c>
      <c r="I6" s="67">
        <f t="shared" si="5"/>
        <v>9</v>
      </c>
      <c r="J6" s="67">
        <f t="shared" si="6"/>
        <v>9</v>
      </c>
      <c r="K6" s="67">
        <f t="shared" si="7"/>
        <v>3</v>
      </c>
      <c r="L6" s="67">
        <f t="shared" ref="L5:L18" si="30">IF(O26&lt;0,"r",
IF(O26=0,1,
IF(AND(O26&gt;=1,O26&lt;=1.25),1,
IF(AND(O26&gt;1.25,O26&lt;=1.5),3,
IF(AND(O26&gt;1.5,O26&lt;=2),5,
IF(AND(O26&gt;2,O26&lt;=3),7,
IF(O26&gt;3,9,
"")))))))</f>
        <v>3</v>
      </c>
      <c r="M6" s="67">
        <f t="shared" si="8"/>
        <v>9</v>
      </c>
      <c r="N6" s="67">
        <v>1</v>
      </c>
      <c r="O6" s="67">
        <f t="shared" si="9"/>
        <v>9</v>
      </c>
      <c r="P6" s="67">
        <f t="shared" si="10"/>
        <v>9</v>
      </c>
      <c r="Q6" s="67">
        <f t="shared" si="11"/>
        <v>9</v>
      </c>
      <c r="R6" s="36">
        <f t="shared" si="12"/>
        <v>0.16829919857524492</v>
      </c>
      <c r="S6" s="25">
        <f t="shared" si="13"/>
        <v>0.16829919857524492</v>
      </c>
      <c r="T6" s="25">
        <f t="shared" si="14"/>
        <v>0.15789473684210534</v>
      </c>
      <c r="U6" s="25">
        <f t="shared" si="15"/>
        <v>0.16829919857524492</v>
      </c>
      <c r="V6" s="25">
        <f t="shared" si="16"/>
        <v>0.15789473684210534</v>
      </c>
      <c r="W6" s="25">
        <f t="shared" si="17"/>
        <v>0.15789473684210534</v>
      </c>
      <c r="X6" s="25">
        <f t="shared" si="18"/>
        <v>0.11894273127753305</v>
      </c>
      <c r="Y6" s="25">
        <f t="shared" si="19"/>
        <v>0.11894273127753305</v>
      </c>
      <c r="Z6" s="25">
        <f t="shared" si="20"/>
        <v>0.16829919857524492</v>
      </c>
      <c r="AA6" s="25">
        <f t="shared" si="21"/>
        <v>0.16859946476360396</v>
      </c>
      <c r="AB6" s="25">
        <f t="shared" si="22"/>
        <v>9.4736842105263161E-2</v>
      </c>
      <c r="AC6" s="25">
        <f t="shared" si="23"/>
        <v>0.15789473684210534</v>
      </c>
      <c r="AD6" s="25">
        <f t="shared" si="24"/>
        <v>0.10344827586206896</v>
      </c>
      <c r="AE6" s="25">
        <f t="shared" si="25"/>
        <v>0.11894273127753305</v>
      </c>
      <c r="AF6" s="75">
        <f t="shared" si="26"/>
        <v>0.11894273127753305</v>
      </c>
      <c r="AG6" s="39">
        <f t="shared" si="27"/>
        <v>0.14315541663403128</v>
      </c>
      <c r="AH6" s="1"/>
      <c r="AI6" s="96">
        <f t="shared" si="28"/>
        <v>2.3370997976228631</v>
      </c>
      <c r="AJ6" s="97">
        <f t="shared" ref="AJ6:AJ18" si="31">AI6/AG6</f>
        <v>16.32561206955603</v>
      </c>
      <c r="AK6" s="90"/>
      <c r="AL6" s="90"/>
      <c r="AM6" s="90"/>
      <c r="AN6" s="35"/>
      <c r="AO6" s="1"/>
      <c r="AP6" s="35"/>
    </row>
    <row r="7" spans="1:42" ht="15" thickBot="1" x14ac:dyDescent="0.35">
      <c r="A7" s="1"/>
      <c r="B7" s="50" t="s">
        <v>24</v>
      </c>
      <c r="C7" s="67">
        <f t="shared" si="2"/>
        <v>1</v>
      </c>
      <c r="D7" s="67">
        <v>1</v>
      </c>
      <c r="E7" s="67">
        <v>0.33333333333333331</v>
      </c>
      <c r="F7" s="67">
        <f t="shared" si="4"/>
        <v>1</v>
      </c>
      <c r="G7" s="67">
        <v>0.33333333333333331</v>
      </c>
      <c r="H7" s="67">
        <v>0.33333333333333331</v>
      </c>
      <c r="I7" s="67">
        <f t="shared" si="5"/>
        <v>7</v>
      </c>
      <c r="J7" s="67">
        <f t="shared" si="6"/>
        <v>7</v>
      </c>
      <c r="K7" s="67">
        <f t="shared" si="7"/>
        <v>1</v>
      </c>
      <c r="L7" s="67">
        <v>1</v>
      </c>
      <c r="M7" s="67">
        <f t="shared" si="8"/>
        <v>9</v>
      </c>
      <c r="N7" s="67">
        <v>0.33333333333333331</v>
      </c>
      <c r="O7" s="67">
        <f t="shared" si="9"/>
        <v>7</v>
      </c>
      <c r="P7" s="67">
        <f t="shared" si="10"/>
        <v>7</v>
      </c>
      <c r="Q7" s="67">
        <f t="shared" si="11"/>
        <v>7</v>
      </c>
      <c r="R7" s="36">
        <f t="shared" si="12"/>
        <v>5.609973285841497E-2</v>
      </c>
      <c r="S7" s="25">
        <f t="shared" si="13"/>
        <v>5.609973285841497E-2</v>
      </c>
      <c r="T7" s="25">
        <f t="shared" si="14"/>
        <v>5.2631578947368446E-2</v>
      </c>
      <c r="U7" s="25">
        <f t="shared" si="15"/>
        <v>5.609973285841497E-2</v>
      </c>
      <c r="V7" s="25">
        <f t="shared" si="16"/>
        <v>5.2631578947368446E-2</v>
      </c>
      <c r="W7" s="25">
        <f t="shared" si="17"/>
        <v>5.2631578947368446E-2</v>
      </c>
      <c r="X7" s="25">
        <f t="shared" si="18"/>
        <v>9.2511013215859042E-2</v>
      </c>
      <c r="Y7" s="25">
        <f t="shared" si="19"/>
        <v>9.2511013215859042E-2</v>
      </c>
      <c r="Z7" s="25">
        <f t="shared" si="20"/>
        <v>5.609973285841497E-2</v>
      </c>
      <c r="AA7" s="25">
        <f t="shared" si="21"/>
        <v>5.619982158786798E-2</v>
      </c>
      <c r="AB7" s="25">
        <f t="shared" si="22"/>
        <v>9.4736842105263161E-2</v>
      </c>
      <c r="AC7" s="25">
        <f t="shared" si="23"/>
        <v>5.2631578947368446E-2</v>
      </c>
      <c r="AD7" s="25">
        <f t="shared" si="24"/>
        <v>8.0459770114942528E-2</v>
      </c>
      <c r="AE7" s="25">
        <f t="shared" si="25"/>
        <v>9.2511013215859042E-2</v>
      </c>
      <c r="AF7" s="75">
        <f t="shared" si="26"/>
        <v>9.2511013215859042E-2</v>
      </c>
      <c r="AG7" s="39">
        <f t="shared" si="27"/>
        <v>6.9091048926309559E-2</v>
      </c>
      <c r="AH7" s="1"/>
      <c r="AI7" s="96">
        <f t="shared" si="28"/>
        <v>1.1193946585855086</v>
      </c>
      <c r="AJ7" s="97">
        <f t="shared" si="31"/>
        <v>16.201732004089578</v>
      </c>
      <c r="AK7" s="90"/>
      <c r="AL7" s="90"/>
      <c r="AM7" s="90"/>
      <c r="AN7" s="1"/>
      <c r="AO7" s="1"/>
      <c r="AP7" s="35"/>
    </row>
    <row r="8" spans="1:42" ht="15" thickBot="1" x14ac:dyDescent="0.35">
      <c r="A8" s="1"/>
      <c r="B8" s="50" t="s">
        <v>31</v>
      </c>
      <c r="C8" s="67">
        <f t="shared" si="2"/>
        <v>3</v>
      </c>
      <c r="D8" s="67">
        <f t="shared" si="3"/>
        <v>3</v>
      </c>
      <c r="E8" s="67">
        <f t="shared" si="29"/>
        <v>1</v>
      </c>
      <c r="F8" s="67">
        <f t="shared" si="4"/>
        <v>3</v>
      </c>
      <c r="G8" s="67">
        <f t="shared" ref="G5:G18" si="32">IF(J28&lt;0,"r",
IF(J28=0,1,
IF(AND(J28&gt;=1,J28&lt;=1.25),1,
IF(AND(J28&gt;1.25,J28&lt;=1.5),3,
IF(AND(J28&gt;1.5,J28&lt;=2),5,
IF(AND(J28&gt;2,J28&lt;=3),7,
IF(J28&gt;3,9,
"")))))))</f>
        <v>1</v>
      </c>
      <c r="H8" s="67">
        <f t="shared" ref="H5:H18" si="33">IF(K28&lt;0,"r",
IF(K28=0,1,
IF(AND(K28&gt;=1,K28&lt;=1.25),1,
IF(AND(K28&gt;1.25,K28&lt;=1.5),3,
IF(AND(K28&gt;1.5,K28&lt;=2),5,
IF(AND(K28&gt;2,K28&lt;=3),7,
IF(K28&gt;3,9,
"")))))))</f>
        <v>1</v>
      </c>
      <c r="I8" s="67">
        <f t="shared" si="5"/>
        <v>9</v>
      </c>
      <c r="J8" s="67">
        <f t="shared" si="6"/>
        <v>9</v>
      </c>
      <c r="K8" s="67">
        <f t="shared" si="7"/>
        <v>3</v>
      </c>
      <c r="L8" s="67">
        <f t="shared" si="30"/>
        <v>3</v>
      </c>
      <c r="M8" s="67">
        <f t="shared" si="8"/>
        <v>9</v>
      </c>
      <c r="N8" s="67">
        <f t="shared" ref="N5:N18" si="34">IF(Q28&lt;0,"r",
IF(Q28=0,1,
IF(AND(Q28&gt;=1,Q28&lt;=1.25),1,
IF(AND(Q28&gt;1.25,Q28&lt;=1.5),3,
IF(AND(Q28&gt;1.5,Q28&lt;=2),5,
IF(AND(Q28&gt;2,Q28&lt;=3),7,
IF(Q28&gt;3,9,
"")))))))</f>
        <v>1</v>
      </c>
      <c r="O8" s="67">
        <f t="shared" si="9"/>
        <v>9</v>
      </c>
      <c r="P8" s="67">
        <f t="shared" si="10"/>
        <v>9</v>
      </c>
      <c r="Q8" s="67">
        <f t="shared" si="11"/>
        <v>9</v>
      </c>
      <c r="R8" s="36">
        <f t="shared" si="12"/>
        <v>0.16829919857524492</v>
      </c>
      <c r="S8" s="25">
        <f t="shared" si="13"/>
        <v>0.16829919857524492</v>
      </c>
      <c r="T8" s="25">
        <f t="shared" si="14"/>
        <v>0.15789473684210534</v>
      </c>
      <c r="U8" s="25">
        <f t="shared" si="15"/>
        <v>0.16829919857524492</v>
      </c>
      <c r="V8" s="25">
        <f t="shared" si="16"/>
        <v>0.15789473684210534</v>
      </c>
      <c r="W8" s="25">
        <f t="shared" si="17"/>
        <v>0.15789473684210534</v>
      </c>
      <c r="X8" s="25">
        <f t="shared" si="18"/>
        <v>0.11894273127753305</v>
      </c>
      <c r="Y8" s="25">
        <f t="shared" si="19"/>
        <v>0.11894273127753305</v>
      </c>
      <c r="Z8" s="25">
        <f t="shared" si="20"/>
        <v>0.16829919857524492</v>
      </c>
      <c r="AA8" s="25">
        <f t="shared" si="21"/>
        <v>0.16859946476360396</v>
      </c>
      <c r="AB8" s="25">
        <f t="shared" si="22"/>
        <v>9.4736842105263161E-2</v>
      </c>
      <c r="AC8" s="25">
        <f t="shared" si="23"/>
        <v>0.15789473684210534</v>
      </c>
      <c r="AD8" s="25">
        <f t="shared" si="24"/>
        <v>0.10344827586206896</v>
      </c>
      <c r="AE8" s="25">
        <f t="shared" si="25"/>
        <v>0.11894273127753305</v>
      </c>
      <c r="AF8" s="75">
        <f t="shared" si="26"/>
        <v>0.11894273127753305</v>
      </c>
      <c r="AG8" s="39">
        <f t="shared" si="27"/>
        <v>0.14315541663403128</v>
      </c>
      <c r="AH8" s="1"/>
      <c r="AI8" s="96">
        <f t="shared" si="28"/>
        <v>2.3370997976228631</v>
      </c>
      <c r="AJ8" s="97">
        <f t="shared" si="31"/>
        <v>16.32561206955603</v>
      </c>
      <c r="AK8" s="90"/>
      <c r="AL8" s="90"/>
      <c r="AM8" s="90"/>
      <c r="AN8" s="1"/>
      <c r="AO8" s="35"/>
      <c r="AP8" s="35"/>
    </row>
    <row r="9" spans="1:42" ht="15" thickBot="1" x14ac:dyDescent="0.35">
      <c r="A9" s="1"/>
      <c r="B9" s="48" t="s">
        <v>25</v>
      </c>
      <c r="C9" s="67">
        <f t="shared" si="2"/>
        <v>3</v>
      </c>
      <c r="D9" s="67">
        <f t="shared" si="3"/>
        <v>3</v>
      </c>
      <c r="E9" s="67">
        <f t="shared" si="29"/>
        <v>1</v>
      </c>
      <c r="F9" s="67">
        <f t="shared" si="4"/>
        <v>3</v>
      </c>
      <c r="G9" s="67">
        <v>1</v>
      </c>
      <c r="H9" s="67">
        <f t="shared" si="33"/>
        <v>1</v>
      </c>
      <c r="I9" s="67">
        <f t="shared" si="5"/>
        <v>9</v>
      </c>
      <c r="J9" s="67">
        <f t="shared" si="6"/>
        <v>9</v>
      </c>
      <c r="K9" s="67">
        <f t="shared" si="7"/>
        <v>3</v>
      </c>
      <c r="L9" s="67">
        <f t="shared" si="30"/>
        <v>3</v>
      </c>
      <c r="M9" s="67">
        <f t="shared" si="8"/>
        <v>9</v>
      </c>
      <c r="N9" s="67">
        <v>1</v>
      </c>
      <c r="O9" s="67">
        <f t="shared" si="9"/>
        <v>9</v>
      </c>
      <c r="P9" s="67">
        <f t="shared" si="10"/>
        <v>9</v>
      </c>
      <c r="Q9" s="67">
        <f t="shared" si="11"/>
        <v>9</v>
      </c>
      <c r="R9" s="36">
        <f t="shared" si="12"/>
        <v>0.16829919857524492</v>
      </c>
      <c r="S9" s="25">
        <f t="shared" si="13"/>
        <v>0.16829919857524492</v>
      </c>
      <c r="T9" s="25">
        <f t="shared" si="14"/>
        <v>0.15789473684210534</v>
      </c>
      <c r="U9" s="25">
        <f t="shared" si="15"/>
        <v>0.16829919857524492</v>
      </c>
      <c r="V9" s="25">
        <f t="shared" si="16"/>
        <v>0.15789473684210534</v>
      </c>
      <c r="W9" s="25">
        <f t="shared" si="17"/>
        <v>0.15789473684210534</v>
      </c>
      <c r="X9" s="25">
        <f t="shared" si="18"/>
        <v>0.11894273127753305</v>
      </c>
      <c r="Y9" s="25">
        <f t="shared" si="19"/>
        <v>0.11894273127753305</v>
      </c>
      <c r="Z9" s="25">
        <f t="shared" si="20"/>
        <v>0.16829919857524492</v>
      </c>
      <c r="AA9" s="25">
        <f t="shared" si="21"/>
        <v>0.16859946476360396</v>
      </c>
      <c r="AB9" s="25">
        <f t="shared" si="22"/>
        <v>9.4736842105263161E-2</v>
      </c>
      <c r="AC9" s="25">
        <f t="shared" si="23"/>
        <v>0.15789473684210534</v>
      </c>
      <c r="AD9" s="25">
        <f t="shared" si="24"/>
        <v>0.10344827586206896</v>
      </c>
      <c r="AE9" s="25">
        <f t="shared" si="25"/>
        <v>0.11894273127753305</v>
      </c>
      <c r="AF9" s="75">
        <f t="shared" si="26"/>
        <v>0.11894273127753305</v>
      </c>
      <c r="AG9" s="39">
        <f t="shared" si="27"/>
        <v>0.14315541663403128</v>
      </c>
      <c r="AH9" s="1"/>
      <c r="AI9" s="96">
        <f t="shared" si="28"/>
        <v>2.3370997976228631</v>
      </c>
      <c r="AJ9" s="97">
        <f t="shared" si="31"/>
        <v>16.32561206955603</v>
      </c>
    </row>
    <row r="10" spans="1:42" ht="15" thickBot="1" x14ac:dyDescent="0.35">
      <c r="A10" s="1"/>
      <c r="B10" s="48" t="s">
        <v>27</v>
      </c>
      <c r="C10" s="67">
        <v>0.14285714285714285</v>
      </c>
      <c r="D10" s="67">
        <v>0.14285714285714285</v>
      </c>
      <c r="E10" s="67">
        <v>0.1111111111111111</v>
      </c>
      <c r="F10" s="67">
        <v>0.14285714285714285</v>
      </c>
      <c r="G10" s="67">
        <v>0.1111111111111111</v>
      </c>
      <c r="H10" s="67">
        <v>0.1111111111111111</v>
      </c>
      <c r="I10" s="67">
        <f t="shared" si="5"/>
        <v>1</v>
      </c>
      <c r="J10" s="67">
        <f t="shared" si="6"/>
        <v>1</v>
      </c>
      <c r="K10" s="67">
        <v>0.14285714285714285</v>
      </c>
      <c r="L10" s="67">
        <v>0.14285714285714285</v>
      </c>
      <c r="M10" s="67">
        <f t="shared" si="8"/>
        <v>3</v>
      </c>
      <c r="N10" s="67">
        <v>0.1111111111111111</v>
      </c>
      <c r="O10" s="67">
        <f t="shared" si="9"/>
        <v>3</v>
      </c>
      <c r="P10" s="67">
        <f t="shared" si="10"/>
        <v>1</v>
      </c>
      <c r="Q10" s="67">
        <f t="shared" si="11"/>
        <v>1</v>
      </c>
      <c r="R10" s="36">
        <f t="shared" si="12"/>
        <v>8.0142475512021381E-3</v>
      </c>
      <c r="S10" s="25">
        <f t="shared" si="13"/>
        <v>8.0142475512021381E-3</v>
      </c>
      <c r="T10" s="25">
        <f t="shared" si="14"/>
        <v>1.7543859649122813E-2</v>
      </c>
      <c r="U10" s="25">
        <f t="shared" si="15"/>
        <v>8.0142475512021381E-3</v>
      </c>
      <c r="V10" s="25">
        <f t="shared" si="16"/>
        <v>1.7543859649122813E-2</v>
      </c>
      <c r="W10" s="25">
        <f t="shared" si="17"/>
        <v>1.7543859649122813E-2</v>
      </c>
      <c r="X10" s="25">
        <f t="shared" si="18"/>
        <v>1.3215859030837006E-2</v>
      </c>
      <c r="Y10" s="25">
        <f t="shared" si="19"/>
        <v>1.3215859030837006E-2</v>
      </c>
      <c r="Z10" s="25">
        <f t="shared" si="20"/>
        <v>8.0142475512021381E-3</v>
      </c>
      <c r="AA10" s="25">
        <f t="shared" si="21"/>
        <v>8.028545941123998E-3</v>
      </c>
      <c r="AB10" s="25">
        <f t="shared" si="22"/>
        <v>3.1578947368421054E-2</v>
      </c>
      <c r="AC10" s="25">
        <f t="shared" si="23"/>
        <v>1.7543859649122813E-2</v>
      </c>
      <c r="AD10" s="25">
        <f t="shared" si="24"/>
        <v>3.4482758620689655E-2</v>
      </c>
      <c r="AE10" s="25">
        <f t="shared" si="25"/>
        <v>1.3215859030837006E-2</v>
      </c>
      <c r="AF10" s="75">
        <f t="shared" si="26"/>
        <v>1.3215859030837006E-2</v>
      </c>
      <c r="AG10" s="39">
        <f t="shared" si="27"/>
        <v>1.527907445699217E-2</v>
      </c>
      <c r="AH10" s="1"/>
      <c r="AI10" s="96">
        <f t="shared" si="28"/>
        <v>0.23213328668979499</v>
      </c>
      <c r="AJ10" s="97">
        <f t="shared" si="31"/>
        <v>15.192889290722956</v>
      </c>
    </row>
    <row r="11" spans="1:42" ht="15" thickBot="1" x14ac:dyDescent="0.35">
      <c r="A11" s="1"/>
      <c r="B11" s="50" t="s">
        <v>20</v>
      </c>
      <c r="C11" s="67">
        <v>0.14285714285714285</v>
      </c>
      <c r="D11" s="67">
        <v>0.14285714285714285</v>
      </c>
      <c r="E11" s="67">
        <v>0.1111111111111111</v>
      </c>
      <c r="F11" s="67">
        <v>0.14285714285714285</v>
      </c>
      <c r="G11" s="67">
        <v>0.1111111111111111</v>
      </c>
      <c r="H11" s="67">
        <v>0.1111111111111111</v>
      </c>
      <c r="I11" s="67">
        <v>1</v>
      </c>
      <c r="J11" s="67">
        <f t="shared" si="6"/>
        <v>1</v>
      </c>
      <c r="K11" s="67">
        <v>0.14285714285714285</v>
      </c>
      <c r="L11" s="67">
        <v>0.14285714285714285</v>
      </c>
      <c r="M11" s="67">
        <f t="shared" si="8"/>
        <v>3</v>
      </c>
      <c r="N11" s="67">
        <v>0.1111111111111111</v>
      </c>
      <c r="O11" s="67">
        <f t="shared" si="9"/>
        <v>3</v>
      </c>
      <c r="P11" s="67">
        <f t="shared" si="10"/>
        <v>1</v>
      </c>
      <c r="Q11" s="67">
        <v>1</v>
      </c>
      <c r="R11" s="36">
        <f t="shared" si="12"/>
        <v>8.0142475512021381E-3</v>
      </c>
      <c r="S11" s="25">
        <f t="shared" si="13"/>
        <v>8.0142475512021381E-3</v>
      </c>
      <c r="T11" s="25">
        <f t="shared" si="14"/>
        <v>1.7543859649122813E-2</v>
      </c>
      <c r="U11" s="25">
        <f t="shared" si="15"/>
        <v>8.0142475512021381E-3</v>
      </c>
      <c r="V11" s="25">
        <f t="shared" si="16"/>
        <v>1.7543859649122813E-2</v>
      </c>
      <c r="W11" s="25">
        <f t="shared" si="17"/>
        <v>1.7543859649122813E-2</v>
      </c>
      <c r="X11" s="25">
        <f t="shared" si="18"/>
        <v>1.3215859030837006E-2</v>
      </c>
      <c r="Y11" s="25">
        <f t="shared" si="19"/>
        <v>1.3215859030837006E-2</v>
      </c>
      <c r="Z11" s="25">
        <f t="shared" si="20"/>
        <v>8.0142475512021381E-3</v>
      </c>
      <c r="AA11" s="25">
        <f t="shared" si="21"/>
        <v>8.028545941123998E-3</v>
      </c>
      <c r="AB11" s="25">
        <f t="shared" si="22"/>
        <v>3.1578947368421054E-2</v>
      </c>
      <c r="AC11" s="25">
        <f t="shared" si="23"/>
        <v>1.7543859649122813E-2</v>
      </c>
      <c r="AD11" s="25">
        <f t="shared" si="24"/>
        <v>3.4482758620689655E-2</v>
      </c>
      <c r="AE11" s="25">
        <f t="shared" si="25"/>
        <v>1.3215859030837006E-2</v>
      </c>
      <c r="AF11" s="75">
        <f t="shared" si="26"/>
        <v>1.3215859030837006E-2</v>
      </c>
      <c r="AG11" s="39">
        <f t="shared" si="27"/>
        <v>1.527907445699217E-2</v>
      </c>
      <c r="AH11" s="1"/>
      <c r="AI11" s="96">
        <f t="shared" si="28"/>
        <v>0.23213328668979499</v>
      </c>
      <c r="AJ11" s="97">
        <f t="shared" si="31"/>
        <v>15.192889290722956</v>
      </c>
    </row>
    <row r="12" spans="1:42" ht="15" thickBot="1" x14ac:dyDescent="0.35">
      <c r="A12" s="1"/>
      <c r="B12" s="48" t="s">
        <v>19</v>
      </c>
      <c r="C12" s="67">
        <f t="shared" si="2"/>
        <v>1</v>
      </c>
      <c r="D12" s="67">
        <v>1</v>
      </c>
      <c r="E12" s="67">
        <v>0.33333333333333331</v>
      </c>
      <c r="F12" s="67">
        <v>1</v>
      </c>
      <c r="G12" s="67">
        <v>0.33333333333333331</v>
      </c>
      <c r="H12" s="67">
        <v>0.33333333333333331</v>
      </c>
      <c r="I12" s="67">
        <f t="shared" si="5"/>
        <v>7</v>
      </c>
      <c r="J12" s="67">
        <f t="shared" si="6"/>
        <v>7</v>
      </c>
      <c r="K12" s="67">
        <f t="shared" si="7"/>
        <v>1</v>
      </c>
      <c r="L12" s="67">
        <v>1</v>
      </c>
      <c r="M12" s="67">
        <f t="shared" si="8"/>
        <v>9</v>
      </c>
      <c r="N12" s="67">
        <v>0.33333333333333331</v>
      </c>
      <c r="O12" s="67">
        <f t="shared" si="9"/>
        <v>7</v>
      </c>
      <c r="P12" s="67">
        <f t="shared" si="10"/>
        <v>7</v>
      </c>
      <c r="Q12" s="67">
        <f t="shared" si="11"/>
        <v>7</v>
      </c>
      <c r="R12" s="36">
        <f t="shared" si="12"/>
        <v>5.609973285841497E-2</v>
      </c>
      <c r="S12" s="25">
        <f t="shared" si="13"/>
        <v>5.609973285841497E-2</v>
      </c>
      <c r="T12" s="25">
        <f t="shared" si="14"/>
        <v>5.2631578947368446E-2</v>
      </c>
      <c r="U12" s="25">
        <f t="shared" si="15"/>
        <v>5.609973285841497E-2</v>
      </c>
      <c r="V12" s="25">
        <f t="shared" si="16"/>
        <v>5.2631578947368446E-2</v>
      </c>
      <c r="W12" s="25">
        <f t="shared" si="17"/>
        <v>5.2631578947368446E-2</v>
      </c>
      <c r="X12" s="25">
        <f t="shared" si="18"/>
        <v>9.2511013215859042E-2</v>
      </c>
      <c r="Y12" s="25">
        <f t="shared" si="19"/>
        <v>9.2511013215859042E-2</v>
      </c>
      <c r="Z12" s="25">
        <f t="shared" si="20"/>
        <v>5.609973285841497E-2</v>
      </c>
      <c r="AA12" s="25">
        <f t="shared" si="21"/>
        <v>5.619982158786798E-2</v>
      </c>
      <c r="AB12" s="25">
        <f t="shared" si="22"/>
        <v>9.4736842105263161E-2</v>
      </c>
      <c r="AC12" s="25">
        <f t="shared" si="23"/>
        <v>5.2631578947368446E-2</v>
      </c>
      <c r="AD12" s="25">
        <f t="shared" si="24"/>
        <v>8.0459770114942528E-2</v>
      </c>
      <c r="AE12" s="25">
        <f t="shared" si="25"/>
        <v>9.2511013215859042E-2</v>
      </c>
      <c r="AF12" s="75">
        <f t="shared" si="26"/>
        <v>9.2511013215859042E-2</v>
      </c>
      <c r="AG12" s="39">
        <f t="shared" si="27"/>
        <v>6.9091048926309559E-2</v>
      </c>
      <c r="AH12" s="1"/>
      <c r="AI12" s="96">
        <f t="shared" si="28"/>
        <v>1.1193946585855086</v>
      </c>
      <c r="AJ12" s="97">
        <f t="shared" si="31"/>
        <v>16.201732004089578</v>
      </c>
    </row>
    <row r="13" spans="1:42" ht="15" thickBot="1" x14ac:dyDescent="0.35">
      <c r="A13" s="1"/>
      <c r="B13" s="50" t="s">
        <v>32</v>
      </c>
      <c r="C13" s="67">
        <f t="shared" si="2"/>
        <v>1</v>
      </c>
      <c r="D13" s="67">
        <f t="shared" si="3"/>
        <v>1</v>
      </c>
      <c r="E13" s="67">
        <v>0.33333333333333331</v>
      </c>
      <c r="F13" s="67">
        <f t="shared" si="4"/>
        <v>1</v>
      </c>
      <c r="G13" s="67">
        <v>0.33333333333333331</v>
      </c>
      <c r="H13" s="67">
        <v>0.33333333333333331</v>
      </c>
      <c r="I13" s="67">
        <f t="shared" si="5"/>
        <v>7</v>
      </c>
      <c r="J13" s="67">
        <f t="shared" si="6"/>
        <v>7</v>
      </c>
      <c r="K13" s="67">
        <f t="shared" si="7"/>
        <v>1</v>
      </c>
      <c r="L13" s="67">
        <f t="shared" si="30"/>
        <v>1</v>
      </c>
      <c r="M13" s="67">
        <f t="shared" si="8"/>
        <v>9</v>
      </c>
      <c r="N13" s="67">
        <v>0.33333333333333331</v>
      </c>
      <c r="O13" s="67">
        <f t="shared" si="9"/>
        <v>9</v>
      </c>
      <c r="P13" s="67">
        <f t="shared" si="10"/>
        <v>7</v>
      </c>
      <c r="Q13" s="67">
        <f t="shared" si="11"/>
        <v>7</v>
      </c>
      <c r="R13" s="36">
        <f t="shared" si="12"/>
        <v>5.609973285841497E-2</v>
      </c>
      <c r="S13" s="25">
        <f t="shared" si="13"/>
        <v>5.609973285841497E-2</v>
      </c>
      <c r="T13" s="25">
        <f t="shared" si="14"/>
        <v>5.2631578947368446E-2</v>
      </c>
      <c r="U13" s="25">
        <f t="shared" si="15"/>
        <v>5.609973285841497E-2</v>
      </c>
      <c r="V13" s="25">
        <f t="shared" si="16"/>
        <v>5.2631578947368446E-2</v>
      </c>
      <c r="W13" s="25">
        <f t="shared" si="17"/>
        <v>5.2631578947368446E-2</v>
      </c>
      <c r="X13" s="25">
        <f t="shared" si="18"/>
        <v>9.2511013215859042E-2</v>
      </c>
      <c r="Y13" s="25">
        <f t="shared" si="19"/>
        <v>9.2511013215859042E-2</v>
      </c>
      <c r="Z13" s="25">
        <f t="shared" si="20"/>
        <v>5.609973285841497E-2</v>
      </c>
      <c r="AA13" s="25">
        <f t="shared" si="21"/>
        <v>5.619982158786798E-2</v>
      </c>
      <c r="AB13" s="25">
        <f t="shared" si="22"/>
        <v>9.4736842105263161E-2</v>
      </c>
      <c r="AC13" s="25">
        <f t="shared" si="23"/>
        <v>5.2631578947368446E-2</v>
      </c>
      <c r="AD13" s="25">
        <f t="shared" si="24"/>
        <v>0.10344827586206896</v>
      </c>
      <c r="AE13" s="25">
        <f t="shared" si="25"/>
        <v>9.2511013215859042E-2</v>
      </c>
      <c r="AF13" s="75">
        <f t="shared" si="26"/>
        <v>9.2511013215859042E-2</v>
      </c>
      <c r="AG13" s="39">
        <f t="shared" si="27"/>
        <v>7.0623615976117993E-2</v>
      </c>
      <c r="AH13" s="1"/>
      <c r="AI13" s="96">
        <f t="shared" si="28"/>
        <v>1.1391438009134631</v>
      </c>
      <c r="AJ13" s="97">
        <f t="shared" si="31"/>
        <v>16.129785839607461</v>
      </c>
    </row>
    <row r="14" spans="1:42" ht="15" thickBot="1" x14ac:dyDescent="0.35">
      <c r="A14" s="1"/>
      <c r="B14" s="50" t="s">
        <v>26</v>
      </c>
      <c r="C14" s="67">
        <v>0.1111111111111111</v>
      </c>
      <c r="D14" s="67">
        <v>0.1111111111111111</v>
      </c>
      <c r="E14" s="67">
        <v>0.1111111111111111</v>
      </c>
      <c r="F14" s="67">
        <v>0.1111111111111111</v>
      </c>
      <c r="G14" s="67">
        <v>0.1111111111111111</v>
      </c>
      <c r="H14" s="67">
        <v>0.1111111111111111</v>
      </c>
      <c r="I14" s="67">
        <v>0.33333333333333331</v>
      </c>
      <c r="J14" s="67">
        <v>0.33333333333333331</v>
      </c>
      <c r="K14" s="67">
        <v>0.1111111111111111</v>
      </c>
      <c r="L14" s="67">
        <v>0.1111111111111111</v>
      </c>
      <c r="M14" s="67">
        <f t="shared" si="8"/>
        <v>1</v>
      </c>
      <c r="N14" s="67">
        <v>0.1111111111111111</v>
      </c>
      <c r="O14" s="67">
        <v>1</v>
      </c>
      <c r="P14" s="67">
        <v>0.33333333333333331</v>
      </c>
      <c r="Q14" s="67">
        <v>0.33333333333333331</v>
      </c>
      <c r="R14" s="36">
        <f t="shared" si="12"/>
        <v>6.2333036509349959E-3</v>
      </c>
      <c r="S14" s="25">
        <f t="shared" si="13"/>
        <v>6.2333036509349959E-3</v>
      </c>
      <c r="T14" s="25">
        <f t="shared" si="14"/>
        <v>1.7543859649122813E-2</v>
      </c>
      <c r="U14" s="25">
        <f t="shared" si="15"/>
        <v>6.2333036509349959E-3</v>
      </c>
      <c r="V14" s="25">
        <f t="shared" si="16"/>
        <v>1.7543859649122813E-2</v>
      </c>
      <c r="W14" s="25">
        <f t="shared" si="17"/>
        <v>1.7543859649122813E-2</v>
      </c>
      <c r="X14" s="25">
        <f t="shared" si="18"/>
        <v>4.4052863436123352E-3</v>
      </c>
      <c r="Y14" s="25">
        <f t="shared" si="19"/>
        <v>4.4052863436123352E-3</v>
      </c>
      <c r="Z14" s="25">
        <f t="shared" si="20"/>
        <v>6.2333036509349959E-3</v>
      </c>
      <c r="AA14" s="25">
        <f t="shared" si="21"/>
        <v>6.2444246208742202E-3</v>
      </c>
      <c r="AB14" s="25">
        <f t="shared" si="22"/>
        <v>1.0526315789473684E-2</v>
      </c>
      <c r="AC14" s="25">
        <f t="shared" si="23"/>
        <v>1.7543859649122813E-2</v>
      </c>
      <c r="AD14" s="25">
        <f t="shared" si="24"/>
        <v>1.1494252873563218E-2</v>
      </c>
      <c r="AE14" s="25">
        <f t="shared" si="25"/>
        <v>4.4052863436123352E-3</v>
      </c>
      <c r="AF14" s="75">
        <f t="shared" si="26"/>
        <v>4.4052863436123352E-3</v>
      </c>
      <c r="AG14" s="39">
        <f t="shared" si="27"/>
        <v>9.399652790572784E-3</v>
      </c>
      <c r="AH14" s="1"/>
      <c r="AI14" s="96">
        <f t="shared" si="28"/>
        <v>0.14182515414359317</v>
      </c>
      <c r="AJ14" s="97">
        <f t="shared" si="31"/>
        <v>15.08833967631594</v>
      </c>
    </row>
    <row r="15" spans="1:42" ht="15" thickBot="1" x14ac:dyDescent="0.35">
      <c r="A15" s="1"/>
      <c r="B15" s="48" t="s">
        <v>30</v>
      </c>
      <c r="C15" s="67">
        <f t="shared" si="2"/>
        <v>3</v>
      </c>
      <c r="D15" s="67">
        <f t="shared" si="3"/>
        <v>3</v>
      </c>
      <c r="E15" s="67">
        <f t="shared" si="29"/>
        <v>1</v>
      </c>
      <c r="F15" s="67">
        <f t="shared" si="4"/>
        <v>3</v>
      </c>
      <c r="G15" s="67">
        <v>1</v>
      </c>
      <c r="H15" s="67">
        <f t="shared" si="33"/>
        <v>1</v>
      </c>
      <c r="I15" s="67">
        <f t="shared" si="5"/>
        <v>9</v>
      </c>
      <c r="J15" s="67">
        <f t="shared" si="6"/>
        <v>9</v>
      </c>
      <c r="K15" s="67">
        <f t="shared" si="7"/>
        <v>3</v>
      </c>
      <c r="L15" s="67">
        <f t="shared" si="30"/>
        <v>3</v>
      </c>
      <c r="M15" s="67">
        <f t="shared" si="8"/>
        <v>9</v>
      </c>
      <c r="N15" s="67">
        <f t="shared" si="34"/>
        <v>1</v>
      </c>
      <c r="O15" s="67">
        <f t="shared" si="9"/>
        <v>9</v>
      </c>
      <c r="P15" s="67">
        <f t="shared" si="10"/>
        <v>9</v>
      </c>
      <c r="Q15" s="67">
        <f t="shared" si="11"/>
        <v>9</v>
      </c>
      <c r="R15" s="36">
        <f t="shared" si="12"/>
        <v>0.16829919857524492</v>
      </c>
      <c r="S15" s="25">
        <f t="shared" si="13"/>
        <v>0.16829919857524492</v>
      </c>
      <c r="T15" s="25">
        <f t="shared" si="14"/>
        <v>0.15789473684210534</v>
      </c>
      <c r="U15" s="25">
        <f t="shared" si="15"/>
        <v>0.16829919857524492</v>
      </c>
      <c r="V15" s="25">
        <f t="shared" si="16"/>
        <v>0.15789473684210534</v>
      </c>
      <c r="W15" s="25">
        <f t="shared" si="17"/>
        <v>0.15789473684210534</v>
      </c>
      <c r="X15" s="25">
        <f t="shared" si="18"/>
        <v>0.11894273127753305</v>
      </c>
      <c r="Y15" s="25">
        <f t="shared" si="19"/>
        <v>0.11894273127753305</v>
      </c>
      <c r="Z15" s="25">
        <f t="shared" si="20"/>
        <v>0.16829919857524492</v>
      </c>
      <c r="AA15" s="25">
        <f t="shared" si="21"/>
        <v>0.16859946476360396</v>
      </c>
      <c r="AB15" s="25">
        <f t="shared" si="22"/>
        <v>9.4736842105263161E-2</v>
      </c>
      <c r="AC15" s="25">
        <f t="shared" si="23"/>
        <v>0.15789473684210534</v>
      </c>
      <c r="AD15" s="25">
        <f t="shared" si="24"/>
        <v>0.10344827586206896</v>
      </c>
      <c r="AE15" s="25">
        <f t="shared" si="25"/>
        <v>0.11894273127753305</v>
      </c>
      <c r="AF15" s="75">
        <f t="shared" si="26"/>
        <v>0.11894273127753305</v>
      </c>
      <c r="AG15" s="39">
        <f t="shared" si="27"/>
        <v>0.14315541663403128</v>
      </c>
      <c r="AH15" s="1"/>
      <c r="AI15" s="96">
        <f t="shared" si="28"/>
        <v>2.3370997976228631</v>
      </c>
      <c r="AJ15" s="97">
        <f t="shared" si="31"/>
        <v>16.32561206955603</v>
      </c>
    </row>
    <row r="16" spans="1:42" ht="15" thickBot="1" x14ac:dyDescent="0.35">
      <c r="A16" s="1"/>
      <c r="B16" s="50" t="s">
        <v>28</v>
      </c>
      <c r="C16" s="67">
        <v>0.14285714285714285</v>
      </c>
      <c r="D16" s="67">
        <v>0.14285714285714285</v>
      </c>
      <c r="E16" s="67">
        <v>0.1111111111111111</v>
      </c>
      <c r="F16" s="67">
        <v>0.14285714285714285</v>
      </c>
      <c r="G16" s="67">
        <v>0.1111111111111111</v>
      </c>
      <c r="H16" s="67">
        <v>0.1111111111111111</v>
      </c>
      <c r="I16" s="67">
        <v>0.33333333333333331</v>
      </c>
      <c r="J16" s="67">
        <v>0.33333333333333331</v>
      </c>
      <c r="K16" s="67">
        <v>0.14285714285714285</v>
      </c>
      <c r="L16" s="67">
        <v>0.1111111111111111</v>
      </c>
      <c r="M16" s="67">
        <f t="shared" si="8"/>
        <v>1</v>
      </c>
      <c r="N16" s="67">
        <v>0.1111111111111111</v>
      </c>
      <c r="O16" s="67">
        <f t="shared" si="9"/>
        <v>1</v>
      </c>
      <c r="P16" s="67">
        <v>0.33333333333333331</v>
      </c>
      <c r="Q16" s="67">
        <v>0.33333333333333331</v>
      </c>
      <c r="R16" s="36">
        <f t="shared" si="12"/>
        <v>8.0142475512021381E-3</v>
      </c>
      <c r="S16" s="25">
        <f t="shared" si="13"/>
        <v>8.0142475512021381E-3</v>
      </c>
      <c r="T16" s="25">
        <f t="shared" si="14"/>
        <v>1.7543859649122813E-2</v>
      </c>
      <c r="U16" s="25">
        <f t="shared" si="15"/>
        <v>8.0142475512021381E-3</v>
      </c>
      <c r="V16" s="25">
        <f t="shared" si="16"/>
        <v>1.7543859649122813E-2</v>
      </c>
      <c r="W16" s="25">
        <f t="shared" si="17"/>
        <v>1.7543859649122813E-2</v>
      </c>
      <c r="X16" s="25">
        <f t="shared" si="18"/>
        <v>4.4052863436123352E-3</v>
      </c>
      <c r="Y16" s="25">
        <f t="shared" si="19"/>
        <v>4.4052863436123352E-3</v>
      </c>
      <c r="Z16" s="25">
        <f t="shared" si="20"/>
        <v>8.0142475512021381E-3</v>
      </c>
      <c r="AA16" s="25">
        <f t="shared" si="21"/>
        <v>6.2444246208742202E-3</v>
      </c>
      <c r="AB16" s="25">
        <f t="shared" si="22"/>
        <v>1.0526315789473684E-2</v>
      </c>
      <c r="AC16" s="25">
        <f t="shared" si="23"/>
        <v>1.7543859649122813E-2</v>
      </c>
      <c r="AD16" s="25">
        <f t="shared" si="24"/>
        <v>1.1494252873563218E-2</v>
      </c>
      <c r="AE16" s="25">
        <f t="shared" si="25"/>
        <v>4.4052863436123352E-3</v>
      </c>
      <c r="AF16" s="75">
        <f t="shared" si="26"/>
        <v>4.4052863436123352E-3</v>
      </c>
      <c r="AG16" s="39">
        <f t="shared" si="27"/>
        <v>9.8745711639773529E-3</v>
      </c>
      <c r="AH16" s="1"/>
      <c r="AI16" s="96">
        <f t="shared" si="28"/>
        <v>0.15059862067391822</v>
      </c>
      <c r="AJ16" s="97">
        <f t="shared" si="31"/>
        <v>15.251155536080919</v>
      </c>
    </row>
    <row r="17" spans="1:36" ht="15" thickBot="1" x14ac:dyDescent="0.35">
      <c r="A17" s="1"/>
      <c r="B17" s="50" t="s">
        <v>23</v>
      </c>
      <c r="C17" s="67">
        <v>0.14285714285714285</v>
      </c>
      <c r="D17" s="67">
        <v>0.14285714285714285</v>
      </c>
      <c r="E17" s="67">
        <v>0.1111111111111111</v>
      </c>
      <c r="F17" s="67">
        <v>0.14285714285714285</v>
      </c>
      <c r="G17" s="67">
        <v>0.1111111111111111</v>
      </c>
      <c r="H17" s="67">
        <v>0.1111111111111111</v>
      </c>
      <c r="I17" s="67">
        <v>1</v>
      </c>
      <c r="J17" s="67">
        <v>1</v>
      </c>
      <c r="K17" s="67">
        <v>0.14285714285714285</v>
      </c>
      <c r="L17" s="67">
        <v>0.14285714285714285</v>
      </c>
      <c r="M17" s="67">
        <f t="shared" si="8"/>
        <v>3</v>
      </c>
      <c r="N17" s="67">
        <v>0.1111111111111111</v>
      </c>
      <c r="O17" s="67">
        <f t="shared" si="9"/>
        <v>3</v>
      </c>
      <c r="P17" s="67">
        <f t="shared" si="10"/>
        <v>1</v>
      </c>
      <c r="Q17" s="67">
        <v>1</v>
      </c>
      <c r="R17" s="36">
        <f t="shared" si="12"/>
        <v>8.0142475512021381E-3</v>
      </c>
      <c r="S17" s="25">
        <f t="shared" si="13"/>
        <v>8.0142475512021381E-3</v>
      </c>
      <c r="T17" s="25">
        <f t="shared" si="14"/>
        <v>1.7543859649122813E-2</v>
      </c>
      <c r="U17" s="25">
        <f t="shared" si="15"/>
        <v>8.0142475512021381E-3</v>
      </c>
      <c r="V17" s="25">
        <f t="shared" si="16"/>
        <v>1.7543859649122813E-2</v>
      </c>
      <c r="W17" s="25">
        <f t="shared" si="17"/>
        <v>1.7543859649122813E-2</v>
      </c>
      <c r="X17" s="25">
        <f t="shared" si="18"/>
        <v>1.3215859030837006E-2</v>
      </c>
      <c r="Y17" s="25">
        <f t="shared" si="19"/>
        <v>1.3215859030837006E-2</v>
      </c>
      <c r="Z17" s="25">
        <f t="shared" si="20"/>
        <v>8.0142475512021381E-3</v>
      </c>
      <c r="AA17" s="25">
        <f t="shared" si="21"/>
        <v>8.028545941123998E-3</v>
      </c>
      <c r="AB17" s="25">
        <f t="shared" si="22"/>
        <v>3.1578947368421054E-2</v>
      </c>
      <c r="AC17" s="25">
        <f t="shared" si="23"/>
        <v>1.7543859649122813E-2</v>
      </c>
      <c r="AD17" s="25">
        <f t="shared" si="24"/>
        <v>3.4482758620689655E-2</v>
      </c>
      <c r="AE17" s="25">
        <f t="shared" si="25"/>
        <v>1.3215859030837006E-2</v>
      </c>
      <c r="AF17" s="75">
        <f t="shared" si="26"/>
        <v>1.3215859030837006E-2</v>
      </c>
      <c r="AG17" s="39">
        <f t="shared" si="27"/>
        <v>1.527907445699217E-2</v>
      </c>
      <c r="AH17" s="1"/>
      <c r="AI17" s="96">
        <f t="shared" si="28"/>
        <v>0.23213328668979499</v>
      </c>
      <c r="AJ17" s="97">
        <f t="shared" si="31"/>
        <v>15.192889290722956</v>
      </c>
    </row>
    <row r="18" spans="1:36" ht="15" thickBot="1" x14ac:dyDescent="0.35">
      <c r="A18" s="1"/>
      <c r="B18" s="48" t="s">
        <v>21</v>
      </c>
      <c r="C18" s="67">
        <v>0.14285714285714285</v>
      </c>
      <c r="D18" s="67">
        <v>0.14285714285714285</v>
      </c>
      <c r="E18" s="67">
        <v>0.1111111111111111</v>
      </c>
      <c r="F18" s="67">
        <v>0.14285714285714285</v>
      </c>
      <c r="G18" s="67">
        <v>0.1111111111111111</v>
      </c>
      <c r="H18" s="67">
        <v>0.1111111111111111</v>
      </c>
      <c r="I18" s="67">
        <v>1</v>
      </c>
      <c r="J18" s="67">
        <f t="shared" si="6"/>
        <v>1</v>
      </c>
      <c r="K18" s="67">
        <v>0.14285714285714285</v>
      </c>
      <c r="L18" s="67">
        <v>0.14285714285714285</v>
      </c>
      <c r="M18" s="67">
        <f t="shared" si="8"/>
        <v>3</v>
      </c>
      <c r="N18" s="67">
        <v>0.1111111111111111</v>
      </c>
      <c r="O18" s="67">
        <f t="shared" si="9"/>
        <v>3</v>
      </c>
      <c r="P18" s="67">
        <f t="shared" si="10"/>
        <v>1</v>
      </c>
      <c r="Q18" s="67">
        <f t="shared" si="11"/>
        <v>1</v>
      </c>
      <c r="R18" s="37">
        <f t="shared" si="12"/>
        <v>8.0142475512021381E-3</v>
      </c>
      <c r="S18" s="76">
        <f t="shared" si="13"/>
        <v>8.0142475512021381E-3</v>
      </c>
      <c r="T18" s="76">
        <f t="shared" si="14"/>
        <v>1.7543859649122813E-2</v>
      </c>
      <c r="U18" s="76">
        <f t="shared" si="15"/>
        <v>8.0142475512021381E-3</v>
      </c>
      <c r="V18" s="76">
        <f t="shared" si="16"/>
        <v>1.7543859649122813E-2</v>
      </c>
      <c r="W18" s="76">
        <f t="shared" si="17"/>
        <v>1.7543859649122813E-2</v>
      </c>
      <c r="X18" s="76">
        <f t="shared" si="18"/>
        <v>1.3215859030837006E-2</v>
      </c>
      <c r="Y18" s="76">
        <f t="shared" si="19"/>
        <v>1.3215859030837006E-2</v>
      </c>
      <c r="Z18" s="76">
        <f t="shared" si="20"/>
        <v>8.0142475512021381E-3</v>
      </c>
      <c r="AA18" s="76">
        <f t="shared" si="21"/>
        <v>8.028545941123998E-3</v>
      </c>
      <c r="AB18" s="76">
        <f t="shared" si="22"/>
        <v>3.1578947368421054E-2</v>
      </c>
      <c r="AC18" s="76">
        <f t="shared" si="23"/>
        <v>1.7543859649122813E-2</v>
      </c>
      <c r="AD18" s="76">
        <f t="shared" si="24"/>
        <v>3.4482758620689655E-2</v>
      </c>
      <c r="AE18" s="76">
        <f t="shared" si="25"/>
        <v>1.3215859030837006E-2</v>
      </c>
      <c r="AF18" s="38">
        <f t="shared" si="26"/>
        <v>1.3215859030837006E-2</v>
      </c>
      <c r="AG18" s="38">
        <f t="shared" si="27"/>
        <v>1.527907445699217E-2</v>
      </c>
      <c r="AH18" s="1"/>
      <c r="AI18" s="96">
        <f t="shared" si="28"/>
        <v>0.23213328668979499</v>
      </c>
      <c r="AJ18" s="97">
        <f t="shared" si="31"/>
        <v>15.192889290722956</v>
      </c>
    </row>
    <row r="19" spans="1:36" ht="14.5" thickBot="1" x14ac:dyDescent="0.35">
      <c r="A19" s="1"/>
      <c r="B19" s="23" t="s">
        <v>7</v>
      </c>
      <c r="C19" s="62">
        <f>SUM(C4:C18)</f>
        <v>17.825396825396822</v>
      </c>
      <c r="D19" s="62">
        <f t="shared" ref="D19:Q19" si="35">SUM(D4:D18)</f>
        <v>17.825396825396822</v>
      </c>
      <c r="E19" s="62">
        <f t="shared" si="35"/>
        <v>6.3333333333333304</v>
      </c>
      <c r="F19" s="62">
        <f t="shared" si="35"/>
        <v>17.825396825396822</v>
      </c>
      <c r="G19" s="62">
        <f t="shared" si="35"/>
        <v>6.3333333333333304</v>
      </c>
      <c r="H19" s="62">
        <f t="shared" si="35"/>
        <v>6.3333333333333304</v>
      </c>
      <c r="I19" s="62">
        <f t="shared" si="35"/>
        <v>75.666666666666657</v>
      </c>
      <c r="J19" s="62">
        <f t="shared" si="35"/>
        <v>75.666666666666657</v>
      </c>
      <c r="K19" s="62">
        <f t="shared" si="35"/>
        <v>17.825396825396822</v>
      </c>
      <c r="L19" s="62">
        <f t="shared" si="35"/>
        <v>17.793650793650791</v>
      </c>
      <c r="M19" s="62">
        <f t="shared" si="35"/>
        <v>95</v>
      </c>
      <c r="N19" s="62">
        <f t="shared" si="35"/>
        <v>6.3333333333333304</v>
      </c>
      <c r="O19" s="62">
        <f t="shared" si="35"/>
        <v>87</v>
      </c>
      <c r="P19" s="62">
        <f t="shared" si="35"/>
        <v>75.666666666666657</v>
      </c>
      <c r="Q19" s="77">
        <f t="shared" si="35"/>
        <v>75.666666666666657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6" ht="14.5" thickBot="1" x14ac:dyDescent="0.35">
      <c r="B20" s="117" t="s">
        <v>9</v>
      </c>
      <c r="C20" s="118">
        <f>AG4</f>
        <v>6.9091048926309559E-2</v>
      </c>
      <c r="D20" s="118">
        <f>AG5</f>
        <v>6.9091048926309559E-2</v>
      </c>
      <c r="E20" s="118">
        <f>AG6</f>
        <v>0.14315541663403128</v>
      </c>
      <c r="F20" s="118">
        <f>AG7</f>
        <v>6.9091048926309559E-2</v>
      </c>
      <c r="G20" s="118">
        <f>AG8</f>
        <v>0.14315541663403128</v>
      </c>
      <c r="H20" s="118">
        <f>AG9</f>
        <v>0.14315541663403128</v>
      </c>
      <c r="I20" s="118">
        <f>AG10</f>
        <v>1.527907445699217E-2</v>
      </c>
      <c r="J20" s="118">
        <f>AG11</f>
        <v>1.527907445699217E-2</v>
      </c>
      <c r="K20" s="118">
        <f>AG12</f>
        <v>6.9091048926309559E-2</v>
      </c>
      <c r="L20" s="118">
        <f>AG13</f>
        <v>7.0623615976117993E-2</v>
      </c>
      <c r="M20" s="118">
        <f>AG14</f>
        <v>9.399652790572784E-3</v>
      </c>
      <c r="N20" s="118">
        <f>AG15</f>
        <v>0.14315541663403128</v>
      </c>
      <c r="O20" s="118">
        <f>AG16</f>
        <v>9.8745711639773529E-3</v>
      </c>
      <c r="P20" s="118">
        <f>AG17</f>
        <v>1.527907445699217E-2</v>
      </c>
      <c r="Q20" s="119">
        <f>AG18</f>
        <v>1.527907445699217E-2</v>
      </c>
    </row>
    <row r="22" spans="1:36" ht="14.5" thickBot="1" x14ac:dyDescent="0.35"/>
    <row r="23" spans="1:36" ht="42.5" thickBot="1" x14ac:dyDescent="0.35">
      <c r="B23" s="49" t="s">
        <v>53</v>
      </c>
      <c r="C23" s="158"/>
      <c r="D23" s="154" t="s">
        <v>74</v>
      </c>
      <c r="E23" s="131" t="s">
        <v>58</v>
      </c>
      <c r="F23" s="135" t="s">
        <v>22</v>
      </c>
      <c r="G23" s="135" t="s">
        <v>29</v>
      </c>
      <c r="H23" s="12" t="s">
        <v>18</v>
      </c>
      <c r="I23" s="136" t="s">
        <v>24</v>
      </c>
      <c r="J23" s="136" t="s">
        <v>31</v>
      </c>
      <c r="K23" s="135" t="s">
        <v>25</v>
      </c>
      <c r="L23" s="135" t="s">
        <v>27</v>
      </c>
      <c r="M23" s="136" t="s">
        <v>20</v>
      </c>
      <c r="N23" s="135" t="s">
        <v>19</v>
      </c>
      <c r="O23" s="136" t="s">
        <v>32</v>
      </c>
      <c r="P23" s="136" t="s">
        <v>26</v>
      </c>
      <c r="Q23" s="135" t="s">
        <v>30</v>
      </c>
      <c r="R23" s="136" t="s">
        <v>28</v>
      </c>
      <c r="S23" s="136" t="s">
        <v>23</v>
      </c>
      <c r="T23" s="135" t="s">
        <v>21</v>
      </c>
    </row>
    <row r="24" spans="1:36" ht="14.5" customHeight="1" thickBot="1" x14ac:dyDescent="0.35">
      <c r="B24" s="159" t="s">
        <v>22</v>
      </c>
      <c r="C24" s="155"/>
      <c r="D24" s="161">
        <v>316217836.2712701</v>
      </c>
      <c r="E24" s="132">
        <f>1/(D24/$D$39)</f>
        <v>21.726817419943785</v>
      </c>
      <c r="F24" s="139">
        <v>0</v>
      </c>
      <c r="G24" s="140">
        <f>$F$39/G39</f>
        <v>0.95572672254960966</v>
      </c>
      <c r="H24" s="140">
        <f t="shared" ref="G24:T24" si="36">$F$39/H39</f>
        <v>0.68759097747134079</v>
      </c>
      <c r="I24" s="140">
        <f t="shared" si="36"/>
        <v>0.9620514764710939</v>
      </c>
      <c r="J24" s="140">
        <f t="shared" si="36"/>
        <v>0.66861671570688785</v>
      </c>
      <c r="K24" s="140">
        <f t="shared" si="36"/>
        <v>0.68284741203022759</v>
      </c>
      <c r="L24" s="140">
        <f t="shared" si="36"/>
        <v>2.0711556012671197</v>
      </c>
      <c r="M24" s="140">
        <f t="shared" si="36"/>
        <v>2.0774803551886039</v>
      </c>
      <c r="N24" s="140">
        <f t="shared" si="36"/>
        <v>0.98893168063740222</v>
      </c>
      <c r="O24" s="140">
        <f t="shared" si="36"/>
        <v>0.94070543198608458</v>
      </c>
      <c r="P24" s="140">
        <f t="shared" si="36"/>
        <v>3.0068014803727259</v>
      </c>
      <c r="Q24" s="140">
        <f t="shared" si="36"/>
        <v>0.68047562930967098</v>
      </c>
      <c r="R24" s="140">
        <f t="shared" si="36"/>
        <v>2.8431484726543195</v>
      </c>
      <c r="S24" s="140">
        <f t="shared" si="36"/>
        <v>2.0885486745512014</v>
      </c>
      <c r="T24" s="141">
        <f t="shared" si="36"/>
        <v>2.0727367897474909</v>
      </c>
      <c r="X24" s="47" t="s">
        <v>75</v>
      </c>
    </row>
    <row r="25" spans="1:36" ht="14.5" customHeight="1" thickBot="1" x14ac:dyDescent="0.35">
      <c r="B25" s="53" t="s">
        <v>29</v>
      </c>
      <c r="C25" s="156"/>
      <c r="D25" s="162">
        <v>302217836.2712701</v>
      </c>
      <c r="E25" s="132">
        <f t="shared" ref="E25:E38" si="37">1/(D25/$D$39)</f>
        <v>22.733294892061569</v>
      </c>
      <c r="F25" s="142">
        <f t="shared" ref="F25:F38" si="38">E25/$E$24</f>
        <v>1.0463242016842238</v>
      </c>
      <c r="G25" s="100">
        <v>0</v>
      </c>
      <c r="H25" s="100">
        <f t="shared" ref="H25:T25" si="39">$G$39/H39</f>
        <v>0.71944308058797579</v>
      </c>
      <c r="I25" s="100">
        <f t="shared" si="39"/>
        <v>1.0066177430977461</v>
      </c>
      <c r="J25" s="100">
        <f t="shared" si="39"/>
        <v>0.69958985129473716</v>
      </c>
      <c r="K25" s="100">
        <f t="shared" si="39"/>
        <v>0.71447977326466605</v>
      </c>
      <c r="L25" s="100">
        <f t="shared" si="39"/>
        <v>2.1671002310596275</v>
      </c>
      <c r="M25" s="100">
        <f t="shared" si="39"/>
        <v>2.1737179741573738</v>
      </c>
      <c r="N25" s="100">
        <f t="shared" si="39"/>
        <v>1.0347431512631677</v>
      </c>
      <c r="O25" s="100">
        <f t="shared" si="39"/>
        <v>0.98428286014285282</v>
      </c>
      <c r="P25" s="100">
        <f t="shared" si="39"/>
        <v>3.1460891585739348</v>
      </c>
      <c r="Q25" s="100">
        <f t="shared" si="39"/>
        <v>0.7119981196030114</v>
      </c>
      <c r="R25" s="100">
        <f t="shared" si="39"/>
        <v>2.9748550559197509</v>
      </c>
      <c r="S25" s="100">
        <f t="shared" si="39"/>
        <v>2.1852990245784296</v>
      </c>
      <c r="T25" s="143">
        <f t="shared" si="39"/>
        <v>2.1687546668340643</v>
      </c>
    </row>
    <row r="26" spans="1:36" ht="14.5" customHeight="1" thickBot="1" x14ac:dyDescent="0.35">
      <c r="B26" s="53" t="s">
        <v>18</v>
      </c>
      <c r="C26" s="156"/>
      <c r="D26" s="162">
        <v>217428531.13563505</v>
      </c>
      <c r="E26" s="132">
        <f>1/(D26/$D$39)</f>
        <v>31.598462068024116</v>
      </c>
      <c r="F26" s="142">
        <f t="shared" si="38"/>
        <v>1.4543529987516171</v>
      </c>
      <c r="G26" s="100">
        <f t="shared" ref="G26:G38" si="40">E26/$E$25</f>
        <v>1.3899640249270795</v>
      </c>
      <c r="H26" s="100">
        <v>0</v>
      </c>
      <c r="I26" s="100">
        <f t="shared" ref="I26:T26" si="41">$H$39/I39</f>
        <v>1.3991624497591562</v>
      </c>
      <c r="J26" s="100">
        <f t="shared" si="41"/>
        <v>0.97240472550376988</v>
      </c>
      <c r="K26" s="100">
        <f t="shared" si="41"/>
        <v>0.9931011813759425</v>
      </c>
      <c r="L26" s="100">
        <f>$H$39/L39</f>
        <v>3.0121913595840439</v>
      </c>
      <c r="M26" s="100">
        <f t="shared" si="41"/>
        <v>3.0213897844161206</v>
      </c>
      <c r="N26" s="100">
        <f t="shared" si="41"/>
        <v>1.4382557552954824</v>
      </c>
      <c r="O26" s="100">
        <f t="shared" si="41"/>
        <v>1.3681177659508974</v>
      </c>
      <c r="P26" s="100">
        <f t="shared" si="41"/>
        <v>4.372950749630875</v>
      </c>
      <c r="Q26" s="100">
        <f t="shared" si="41"/>
        <v>0.98965177206391386</v>
      </c>
      <c r="R26" s="100">
        <f t="shared" si="41"/>
        <v>4.1349415071008888</v>
      </c>
      <c r="S26" s="100">
        <f t="shared" si="41"/>
        <v>3.0374870278722552</v>
      </c>
      <c r="T26" s="143">
        <f t="shared" si="41"/>
        <v>3.0144909657920631</v>
      </c>
    </row>
    <row r="27" spans="1:36" ht="14.5" customHeight="1" thickBot="1" x14ac:dyDescent="0.35">
      <c r="B27" s="53" t="s">
        <v>24</v>
      </c>
      <c r="C27" s="156"/>
      <c r="D27" s="162">
        <v>304217836.2712701</v>
      </c>
      <c r="E27" s="132">
        <f t="shared" si="37"/>
        <v>22.583840835253472</v>
      </c>
      <c r="F27" s="142">
        <f t="shared" si="38"/>
        <v>1.0394454189375659</v>
      </c>
      <c r="G27" s="100">
        <f t="shared" si="40"/>
        <v>0.99342576351040579</v>
      </c>
      <c r="H27" s="100">
        <f t="shared" ref="H27:H38" si="42">E27/$E$26</f>
        <v>0.71471329163538821</v>
      </c>
      <c r="I27" s="100">
        <v>0</v>
      </c>
      <c r="J27" s="100">
        <f t="shared" ref="J27:T27" si="43">$I$39/J39</f>
        <v>0.69499058216660548</v>
      </c>
      <c r="K27" s="100">
        <f t="shared" si="43"/>
        <v>0.70978261426819256</v>
      </c>
      <c r="L27" s="100">
        <f t="shared" si="43"/>
        <v>2.1528532016439876</v>
      </c>
      <c r="M27" s="100">
        <f t="shared" si="43"/>
        <v>2.1594274381335818</v>
      </c>
      <c r="N27" s="100">
        <f t="shared" si="43"/>
        <v>1.0279405050807757</v>
      </c>
      <c r="O27" s="100">
        <f t="shared" si="43"/>
        <v>0.97781195184761949</v>
      </c>
      <c r="P27" s="100">
        <f t="shared" si="43"/>
        <v>3.1254060244281212</v>
      </c>
      <c r="Q27" s="100">
        <f t="shared" si="43"/>
        <v>0.70731727558459478</v>
      </c>
      <c r="R27" s="100">
        <f t="shared" si="43"/>
        <v>2.9552976552598693</v>
      </c>
      <c r="S27" s="100">
        <f t="shared" si="43"/>
        <v>2.1709323519903716</v>
      </c>
      <c r="T27" s="143">
        <f t="shared" si="43"/>
        <v>2.1544967607663859</v>
      </c>
    </row>
    <row r="28" spans="1:36" ht="14.5" customHeight="1" thickBot="1" x14ac:dyDescent="0.35">
      <c r="B28" s="53" t="s">
        <v>31</v>
      </c>
      <c r="C28" s="156"/>
      <c r="D28" s="162">
        <v>211428531.13563505</v>
      </c>
      <c r="E28" s="132">
        <f t="shared" si="37"/>
        <v>32.495175351656201</v>
      </c>
      <c r="F28" s="142">
        <f t="shared" si="38"/>
        <v>1.4956251863113543</v>
      </c>
      <c r="G28" s="100">
        <f t="shared" si="40"/>
        <v>1.4294089574759998</v>
      </c>
      <c r="H28" s="100">
        <f t="shared" si="42"/>
        <v>1.0283783837865803</v>
      </c>
      <c r="I28" s="100">
        <f t="shared" ref="I28:I38" si="44">E28/$E$27</f>
        <v>1.4388684187381933</v>
      </c>
      <c r="J28" s="100">
        <v>0</v>
      </c>
      <c r="K28" s="100">
        <f>$J$39/K39</f>
        <v>1.0212837878399352</v>
      </c>
      <c r="L28" s="100">
        <f t="shared" ref="L28:T28" si="45">$J$39/L39</f>
        <v>3.0976724820249411</v>
      </c>
      <c r="M28" s="100">
        <f t="shared" si="45"/>
        <v>3.107131943287134</v>
      </c>
      <c r="N28" s="100">
        <f t="shared" si="45"/>
        <v>1.4790711291025154</v>
      </c>
      <c r="O28" s="100">
        <f t="shared" si="45"/>
        <v>1.4069427369782908</v>
      </c>
      <c r="P28" s="100">
        <f>$J$39/P39</f>
        <v>4.4970480242837141</v>
      </c>
      <c r="Q28" s="100">
        <f t="shared" si="45"/>
        <v>1.0177364898666128</v>
      </c>
      <c r="R28" s="100">
        <f t="shared" si="45"/>
        <v>4.2522844641244584</v>
      </c>
      <c r="S28" s="100">
        <f t="shared" si="45"/>
        <v>3.1236860004959728</v>
      </c>
      <c r="T28" s="143">
        <f t="shared" si="45"/>
        <v>3.1000373473404892</v>
      </c>
    </row>
    <row r="29" spans="1:36" ht="14.5" customHeight="1" thickBot="1" x14ac:dyDescent="0.35">
      <c r="B29" s="53" t="s">
        <v>25</v>
      </c>
      <c r="C29" s="156"/>
      <c r="D29" s="162">
        <v>215928531.13563505</v>
      </c>
      <c r="E29" s="132">
        <f t="shared" si="37"/>
        <v>31.817968461425473</v>
      </c>
      <c r="F29" s="142">
        <f t="shared" si="38"/>
        <v>1.4644560151832766</v>
      </c>
      <c r="G29" s="100">
        <f t="shared" si="40"/>
        <v>1.3996197477091743</v>
      </c>
      <c r="H29" s="100">
        <f t="shared" si="42"/>
        <v>1.0069467429436538</v>
      </c>
      <c r="I29" s="100">
        <f t="shared" si="44"/>
        <v>1.4088820716340458</v>
      </c>
      <c r="J29" s="100">
        <f t="shared" ref="J29:J38" si="46">E29/$E$28</f>
        <v>0.97915977116903874</v>
      </c>
      <c r="K29" s="100">
        <v>0</v>
      </c>
      <c r="L29" s="100">
        <f>$K$39/L39</f>
        <v>3.0331162786561694</v>
      </c>
      <c r="M29" s="100">
        <f t="shared" ref="M29:T29" si="47">$K$39/M39</f>
        <v>3.0423786025810409</v>
      </c>
      <c r="N29" s="100">
        <f t="shared" si="47"/>
        <v>1.4482469483147506</v>
      </c>
      <c r="O29" s="100">
        <f t="shared" si="47"/>
        <v>1.377621728387604</v>
      </c>
      <c r="P29" s="100">
        <f t="shared" si="47"/>
        <v>4.4033285143938192</v>
      </c>
      <c r="Q29" s="100">
        <f t="shared" si="47"/>
        <v>0.9965266285281732</v>
      </c>
      <c r="R29" s="100">
        <f t="shared" si="47"/>
        <v>4.1636658828377628</v>
      </c>
      <c r="S29" s="100">
        <f t="shared" si="47"/>
        <v>3.0585876694495666</v>
      </c>
      <c r="T29" s="143">
        <f t="shared" si="47"/>
        <v>3.035431859637387</v>
      </c>
    </row>
    <row r="30" spans="1:36" ht="14.5" customHeight="1" thickBot="1" x14ac:dyDescent="0.35">
      <c r="B30" s="53" t="s">
        <v>27</v>
      </c>
      <c r="C30" s="156"/>
      <c r="D30" s="162">
        <v>654936342.81381011</v>
      </c>
      <c r="E30" s="132">
        <f t="shared" si="37"/>
        <v>10.490190793319178</v>
      </c>
      <c r="F30" s="142">
        <f t="shared" si="38"/>
        <v>0.48282224637695326</v>
      </c>
      <c r="G30" s="100">
        <f t="shared" si="40"/>
        <v>0.46144612310388566</v>
      </c>
      <c r="H30" s="100">
        <f t="shared" si="42"/>
        <v>0.33198422033123781</v>
      </c>
      <c r="I30" s="100">
        <f t="shared" si="44"/>
        <v>0.4644998550000381</v>
      </c>
      <c r="J30" s="100">
        <f t="shared" si="46"/>
        <v>0.32282302464278034</v>
      </c>
      <c r="K30" s="100">
        <f t="shared" ref="K30:K38" si="48">E30/$E$29</f>
        <v>0.3296939214091234</v>
      </c>
      <c r="L30" s="100">
        <v>0</v>
      </c>
      <c r="M30" s="100">
        <f>$L$39/M39</f>
        <v>1.0030537318961525</v>
      </c>
      <c r="N30" s="100">
        <f t="shared" ref="N30:T30" si="49">$L$39/N39</f>
        <v>0.47747821555868625</v>
      </c>
      <c r="O30" s="100">
        <f t="shared" si="49"/>
        <v>0.45419350985052354</v>
      </c>
      <c r="P30" s="100">
        <f t="shared" si="49"/>
        <v>1.4517506451631079</v>
      </c>
      <c r="Q30" s="100">
        <f t="shared" si="49"/>
        <v>0.32854877194806625</v>
      </c>
      <c r="R30" s="100">
        <f t="shared" si="49"/>
        <v>1.3727353323501621</v>
      </c>
      <c r="S30" s="100">
        <f t="shared" si="49"/>
        <v>1.0083977627144194</v>
      </c>
      <c r="T30" s="143">
        <f t="shared" si="49"/>
        <v>1.000763432974038</v>
      </c>
    </row>
    <row r="31" spans="1:36" ht="14.5" customHeight="1" thickBot="1" x14ac:dyDescent="0.35">
      <c r="B31" s="53" t="s">
        <v>20</v>
      </c>
      <c r="C31" s="156"/>
      <c r="D31" s="162">
        <v>656936342.81381011</v>
      </c>
      <c r="E31" s="132">
        <f t="shared" si="37"/>
        <v>10.458254089228832</v>
      </c>
      <c r="F31" s="142">
        <f t="shared" si="38"/>
        <v>0.48135232542750811</v>
      </c>
      <c r="G31" s="100">
        <f t="shared" si="40"/>
        <v>0.46004128037246544</v>
      </c>
      <c r="H31" s="100">
        <f t="shared" si="42"/>
        <v>0.3309735159488032</v>
      </c>
      <c r="I31" s="100">
        <f t="shared" si="44"/>
        <v>0.46308571538032861</v>
      </c>
      <c r="J31" s="100">
        <f t="shared" si="46"/>
        <v>0.32184021092521359</v>
      </c>
      <c r="K31" s="100">
        <f t="shared" si="48"/>
        <v>0.32869018969290581</v>
      </c>
      <c r="L31" s="100">
        <f t="shared" ref="L31:L38" si="50">E31/$E$30</f>
        <v>0.99695556499213678</v>
      </c>
      <c r="M31" s="100">
        <v>0</v>
      </c>
      <c r="N31" s="100">
        <f>$M$39/N39</f>
        <v>0.47602456416374733</v>
      </c>
      <c r="O31" s="100">
        <f t="shared" ref="O31:T31" si="51">$M$39/O39</f>
        <v>0.45281074722879033</v>
      </c>
      <c r="P31" s="100">
        <f t="shared" si="51"/>
        <v>1.4473308846762853</v>
      </c>
      <c r="Q31" s="100">
        <f t="shared" si="51"/>
        <v>0.32754852656495714</v>
      </c>
      <c r="R31" s="100">
        <f t="shared" si="51"/>
        <v>1.3685561288478245</v>
      </c>
      <c r="S31" s="100">
        <f t="shared" si="51"/>
        <v>1.0053277612637606</v>
      </c>
      <c r="T31" s="143">
        <f t="shared" si="51"/>
        <v>0.99771667374410256</v>
      </c>
    </row>
    <row r="32" spans="1:36" ht="14.5" customHeight="1" thickBot="1" x14ac:dyDescent="0.35">
      <c r="B32" s="53" t="s">
        <v>19</v>
      </c>
      <c r="C32" s="156"/>
      <c r="D32" s="162">
        <v>312717836.2712701</v>
      </c>
      <c r="E32" s="132">
        <f t="shared" si="37"/>
        <v>21.969988266469596</v>
      </c>
      <c r="F32" s="142">
        <f t="shared" si="38"/>
        <v>1.0111921981864953</v>
      </c>
      <c r="G32" s="100">
        <f t="shared" si="40"/>
        <v>0.96642340544051453</v>
      </c>
      <c r="H32" s="100">
        <f t="shared" si="42"/>
        <v>0.69528663196244611</v>
      </c>
      <c r="I32" s="100">
        <f t="shared" si="44"/>
        <v>0.97281894726136886</v>
      </c>
      <c r="J32" s="100">
        <f t="shared" si="46"/>
        <v>0.676100006499883</v>
      </c>
      <c r="K32" s="100">
        <f t="shared" si="48"/>
        <v>0.69048997559680536</v>
      </c>
      <c r="L32" s="100">
        <f t="shared" si="50"/>
        <v>2.0943363852315713</v>
      </c>
      <c r="M32" s="100">
        <f t="shared" ref="M32:M38" si="52">E32/$E$31</f>
        <v>2.1007319270524256</v>
      </c>
      <c r="N32" s="100">
        <v>0</v>
      </c>
      <c r="O32" s="100">
        <f t="shared" ref="O32:T32" si="53">$N$39/O39</f>
        <v>0.95123399361598548</v>
      </c>
      <c r="P32" s="100">
        <f t="shared" si="53"/>
        <v>3.0404541984485052</v>
      </c>
      <c r="Q32" s="100">
        <f t="shared" si="53"/>
        <v>0.68809164741398499</v>
      </c>
      <c r="R32" s="100">
        <f t="shared" si="53"/>
        <v>2.874969553833898</v>
      </c>
      <c r="S32" s="100">
        <f t="shared" si="53"/>
        <v>2.1119241252389207</v>
      </c>
      <c r="T32" s="143">
        <f t="shared" si="53"/>
        <v>2.0959352706867849</v>
      </c>
    </row>
    <row r="33" spans="2:20" ht="14.5" customHeight="1" thickBot="1" x14ac:dyDescent="0.35">
      <c r="B33" s="53" t="s">
        <v>32</v>
      </c>
      <c r="C33" s="156"/>
      <c r="D33" s="162">
        <v>297467836.2712701</v>
      </c>
      <c r="E33" s="132">
        <f t="shared" si="37"/>
        <v>23.096302711968587</v>
      </c>
      <c r="F33" s="142">
        <f t="shared" si="38"/>
        <v>1.0630320246888854</v>
      </c>
      <c r="G33" s="100">
        <f t="shared" si="40"/>
        <v>1.0159681129211842</v>
      </c>
      <c r="H33" s="100">
        <f t="shared" si="42"/>
        <v>0.73093122893916918</v>
      </c>
      <c r="I33" s="100">
        <f t="shared" si="44"/>
        <v>1.0226915288879985</v>
      </c>
      <c r="J33" s="100">
        <f t="shared" si="46"/>
        <v>0.71076098103872587</v>
      </c>
      <c r="K33" s="100">
        <f t="shared" si="48"/>
        <v>0.7258886669640584</v>
      </c>
      <c r="L33" s="100">
        <f t="shared" si="50"/>
        <v>2.2017047322607119</v>
      </c>
      <c r="M33" s="100">
        <f t="shared" si="52"/>
        <v>2.2084281482275263</v>
      </c>
      <c r="N33" s="100">
        <f t="shared" ref="N33:N38" si="54">E33/$E$32</f>
        <v>1.0512660467469599</v>
      </c>
      <c r="O33" s="100">
        <v>0</v>
      </c>
      <c r="P33" s="100">
        <f>$O$39/P39</f>
        <v>3.1963262655181568</v>
      </c>
      <c r="Q33" s="100">
        <f>$O$39/Q39</f>
        <v>0.72336738597650307</v>
      </c>
      <c r="R33" s="100">
        <f>$O$39/R39</f>
        <v>3.0223578773768329</v>
      </c>
      <c r="S33" s="100">
        <f>$O$39/S39</f>
        <v>2.2201941261694516</v>
      </c>
      <c r="T33" s="143">
        <f>$O$39/T39</f>
        <v>2.2033855862524154</v>
      </c>
    </row>
    <row r="34" spans="2:20" ht="14.5" customHeight="1" thickBot="1" x14ac:dyDescent="0.35">
      <c r="B34" s="53" t="s">
        <v>26</v>
      </c>
      <c r="C34" s="156"/>
      <c r="D34" s="162">
        <v>950804258.22071528</v>
      </c>
      <c r="E34" s="132">
        <f t="shared" si="37"/>
        <v>7.2258902231385456</v>
      </c>
      <c r="F34" s="142">
        <f t="shared" si="38"/>
        <v>0.33257932275463664</v>
      </c>
      <c r="G34" s="100">
        <f t="shared" si="40"/>
        <v>0.31785494612405768</v>
      </c>
      <c r="H34" s="100">
        <f t="shared" si="42"/>
        <v>0.22867854161961712</v>
      </c>
      <c r="I34" s="100">
        <f t="shared" si="44"/>
        <v>0.31995842849985462</v>
      </c>
      <c r="J34" s="100">
        <f t="shared" si="46"/>
        <v>0.22236809449222619</v>
      </c>
      <c r="K34" s="100">
        <f t="shared" si="48"/>
        <v>0.22710092983776939</v>
      </c>
      <c r="L34" s="100">
        <f t="shared" si="50"/>
        <v>0.68882352718889095</v>
      </c>
      <c r="M34" s="100">
        <f t="shared" si="52"/>
        <v>0.69092700956468789</v>
      </c>
      <c r="N34" s="100">
        <f t="shared" si="54"/>
        <v>0.32889822859699186</v>
      </c>
      <c r="O34" s="100">
        <f>E34/$E$33</f>
        <v>0.31285917548153991</v>
      </c>
      <c r="P34" s="100">
        <v>0</v>
      </c>
      <c r="Q34" s="100">
        <f>$P$39/Q39</f>
        <v>0.22631212394684555</v>
      </c>
      <c r="R34" s="100">
        <f>$P$39/R39</f>
        <v>0.945572393526253</v>
      </c>
      <c r="S34" s="100">
        <f>$P$39/S39</f>
        <v>0.69460810372233261</v>
      </c>
      <c r="T34" s="143">
        <f>$P$39/T39</f>
        <v>0.6893493977828401</v>
      </c>
    </row>
    <row r="35" spans="2:20" ht="14.5" customHeight="1" thickBot="1" x14ac:dyDescent="0.35">
      <c r="B35" s="53" t="s">
        <v>30</v>
      </c>
      <c r="C35" s="156"/>
      <c r="D35" s="162">
        <v>215178531.13563505</v>
      </c>
      <c r="E35" s="132">
        <f t="shared" si="37"/>
        <v>31.928869285128123</v>
      </c>
      <c r="F35" s="142">
        <f t="shared" si="38"/>
        <v>1.4695603441588057</v>
      </c>
      <c r="G35" s="100">
        <f t="shared" si="40"/>
        <v>1.4044980913117717</v>
      </c>
      <c r="H35" s="100">
        <f t="shared" si="42"/>
        <v>1.0104564334932731</v>
      </c>
      <c r="I35" s="100">
        <f t="shared" si="44"/>
        <v>1.4137926988613478</v>
      </c>
      <c r="J35" s="100">
        <f t="shared" si="46"/>
        <v>0.9825726108445445</v>
      </c>
      <c r="K35" s="100">
        <f t="shared" si="48"/>
        <v>1.0034854778310909</v>
      </c>
      <c r="L35" s="100">
        <f t="shared" si="50"/>
        <v>3.0436881382045464</v>
      </c>
      <c r="M35" s="100">
        <f t="shared" si="52"/>
        <v>3.0529827457541225</v>
      </c>
      <c r="N35" s="100">
        <f t="shared" si="54"/>
        <v>1.4532947809470469</v>
      </c>
      <c r="O35" s="100">
        <f>E35/$E$33</f>
        <v>1.3824233983815284</v>
      </c>
      <c r="P35" s="100">
        <f>E35/$E$34</f>
        <v>4.4186762183137489</v>
      </c>
      <c r="Q35" s="100">
        <v>0</v>
      </c>
      <c r="R35" s="100">
        <f>$Q$39/R39</f>
        <v>4.1781782479684644</v>
      </c>
      <c r="S35" s="100">
        <f>$Q$39/S39</f>
        <v>3.0692483089658813</v>
      </c>
      <c r="T35" s="143">
        <f>$Q$39/T39</f>
        <v>3.0460117900919403</v>
      </c>
    </row>
    <row r="36" spans="2:20" ht="14.5" customHeight="1" thickBot="1" x14ac:dyDescent="0.35">
      <c r="B36" s="53" t="s">
        <v>28</v>
      </c>
      <c r="C36" s="156"/>
      <c r="D36" s="162">
        <v>899054258.22071528</v>
      </c>
      <c r="E36" s="132">
        <f t="shared" si="37"/>
        <v>7.6418159758149971</v>
      </c>
      <c r="F36" s="142">
        <f t="shared" si="38"/>
        <v>0.35172275018983284</v>
      </c>
      <c r="G36" s="100">
        <f t="shared" si="40"/>
        <v>0.33615083128506407</v>
      </c>
      <c r="H36" s="100">
        <f t="shared" si="42"/>
        <v>0.24184138960193538</v>
      </c>
      <c r="I36" s="100">
        <f t="shared" si="44"/>
        <v>0.33837539112860243</v>
      </c>
      <c r="J36" s="100">
        <f t="shared" si="46"/>
        <v>0.23516771007132023</v>
      </c>
      <c r="K36" s="100">
        <f t="shared" si="48"/>
        <v>0.24017296971928159</v>
      </c>
      <c r="L36" s="100">
        <f t="shared" si="50"/>
        <v>0.72847254414874829</v>
      </c>
      <c r="M36" s="100">
        <f t="shared" si="52"/>
        <v>0.7306971039922866</v>
      </c>
      <c r="N36" s="100">
        <f t="shared" si="54"/>
        <v>0.34782977046364061</v>
      </c>
      <c r="O36" s="100">
        <f>E36/$E$33</f>
        <v>0.3308675016566604</v>
      </c>
      <c r="P36" s="100">
        <f>E36/$E$34</f>
        <v>1.0575604859515559</v>
      </c>
      <c r="Q36" s="100">
        <f>E36/$E$35</f>
        <v>0.23933875977795474</v>
      </c>
      <c r="R36" s="100">
        <v>0</v>
      </c>
      <c r="S36" s="100">
        <f>$R$39/S39</f>
        <v>0.73459008371847878</v>
      </c>
      <c r="T36" s="143">
        <f>$R$39/T39</f>
        <v>0.72902868410963284</v>
      </c>
    </row>
    <row r="37" spans="2:20" ht="14.5" customHeight="1" thickBot="1" x14ac:dyDescent="0.35">
      <c r="B37" s="53" t="s">
        <v>23</v>
      </c>
      <c r="C37" s="156"/>
      <c r="D37" s="162">
        <v>660436342.81381011</v>
      </c>
      <c r="E37" s="132">
        <f t="shared" si="37"/>
        <v>10.402830292960521</v>
      </c>
      <c r="F37" s="142">
        <f t="shared" si="38"/>
        <v>0.47880138595040661</v>
      </c>
      <c r="G37" s="100">
        <f t="shared" si="40"/>
        <v>0.45760327934659284</v>
      </c>
      <c r="H37" s="100">
        <f t="shared" si="42"/>
        <v>0.32921951298027274</v>
      </c>
      <c r="I37" s="100">
        <f t="shared" si="44"/>
        <v>0.46063158028999474</v>
      </c>
      <c r="J37" s="100">
        <f t="shared" si="46"/>
        <v>0.32013461015006689</v>
      </c>
      <c r="K37" s="100">
        <f t="shared" si="48"/>
        <v>0.32694828727272129</v>
      </c>
      <c r="L37" s="100">
        <f t="shared" si="50"/>
        <v>0.99167217240564465</v>
      </c>
      <c r="M37" s="100">
        <f t="shared" si="52"/>
        <v>0.99470047334904654</v>
      </c>
      <c r="N37" s="100">
        <f t="shared" si="54"/>
        <v>0.4735018592994531</v>
      </c>
      <c r="O37" s="100">
        <f>E37/$E$33</f>
        <v>0.45041106460601321</v>
      </c>
      <c r="P37" s="100">
        <f>E37/$E$34</f>
        <v>1.4396607160801953</v>
      </c>
      <c r="Q37" s="100">
        <f>E37/$E$35</f>
        <v>0.32581267441894562</v>
      </c>
      <c r="R37" s="100">
        <f>E37/$E$36</f>
        <v>1.3613034291696697</v>
      </c>
      <c r="S37" s="100">
        <v>0</v>
      </c>
      <c r="T37" s="143">
        <f>$S$39/T39</f>
        <v>0.99242924764149509</v>
      </c>
    </row>
    <row r="38" spans="2:20" ht="15" customHeight="1" thickBot="1" x14ac:dyDescent="0.35">
      <c r="B38" s="53" t="s">
        <v>21</v>
      </c>
      <c r="C38" s="156"/>
      <c r="D38" s="162">
        <v>655436342.81381011</v>
      </c>
      <c r="E38" s="132">
        <f t="shared" si="37"/>
        <v>10.482188345096453</v>
      </c>
      <c r="F38" s="164">
        <f t="shared" si="38"/>
        <v>0.48245392514204571</v>
      </c>
      <c r="G38" s="146">
        <f t="shared" si="40"/>
        <v>0.46109410865720207</v>
      </c>
      <c r="H38" s="146">
        <f t="shared" si="42"/>
        <v>0.33173096597330426</v>
      </c>
      <c r="I38" s="146">
        <f t="shared" si="44"/>
        <v>0.46414551101217966</v>
      </c>
      <c r="J38" s="146">
        <f t="shared" si="46"/>
        <v>0.32257675890837134</v>
      </c>
      <c r="K38" s="146">
        <f t="shared" si="48"/>
        <v>0.32944241420707104</v>
      </c>
      <c r="L38" s="146">
        <f t="shared" si="50"/>
        <v>0.99923714941125563</v>
      </c>
      <c r="M38" s="146">
        <f t="shared" si="52"/>
        <v>1.0022885517662332</v>
      </c>
      <c r="N38" s="146">
        <f t="shared" si="54"/>
        <v>0.47711397102083475</v>
      </c>
      <c r="O38" s="146">
        <f>E38/$E$33</f>
        <v>0.45384702806413019</v>
      </c>
      <c r="P38" s="146">
        <f>E38/$E$34</f>
        <v>1.4506431763287353</v>
      </c>
      <c r="Q38" s="146">
        <f>E38/$E$35</f>
        <v>0.32829813832395449</v>
      </c>
      <c r="R38" s="146">
        <f>E38/$E$36</f>
        <v>1.3716881403936885</v>
      </c>
      <c r="S38" s="146">
        <f>E38/$E$37</f>
        <v>1.0076285058874441</v>
      </c>
      <c r="T38" s="147">
        <v>0</v>
      </c>
    </row>
    <row r="39" spans="2:20" ht="15" customHeight="1" thickBot="1" x14ac:dyDescent="0.35">
      <c r="B39" s="160" t="s">
        <v>7</v>
      </c>
      <c r="C39" s="157"/>
      <c r="D39" s="163">
        <f>SUM(D24:D38)</f>
        <v>6870407193.5955639</v>
      </c>
      <c r="E39" s="134"/>
      <c r="F39" s="144">
        <f>E24</f>
        <v>21.726817419943785</v>
      </c>
      <c r="G39" s="145">
        <f>E25</f>
        <v>22.733294892061569</v>
      </c>
      <c r="H39" s="145">
        <f>E26</f>
        <v>31.598462068024116</v>
      </c>
      <c r="I39" s="145">
        <f>E27</f>
        <v>22.583840835253472</v>
      </c>
      <c r="J39" s="145">
        <f>E28</f>
        <v>32.495175351656201</v>
      </c>
      <c r="K39" s="145">
        <f>E29</f>
        <v>31.817968461425473</v>
      </c>
      <c r="L39" s="145">
        <f>E30</f>
        <v>10.490190793319178</v>
      </c>
      <c r="M39" s="145">
        <f>E31</f>
        <v>10.458254089228832</v>
      </c>
      <c r="N39" s="145">
        <f>E32</f>
        <v>21.969988266469596</v>
      </c>
      <c r="O39" s="145">
        <f>E33</f>
        <v>23.096302711968587</v>
      </c>
      <c r="P39" s="145">
        <f>E34</f>
        <v>7.2258902231385456</v>
      </c>
      <c r="Q39" s="145">
        <f>E35</f>
        <v>31.928869285128123</v>
      </c>
      <c r="R39" s="145">
        <f>E36</f>
        <v>7.6418159758149971</v>
      </c>
      <c r="S39" s="145">
        <f>E37</f>
        <v>10.402830292960521</v>
      </c>
      <c r="T39" s="138">
        <f>E38</f>
        <v>10.482188345096453</v>
      </c>
    </row>
  </sheetData>
  <mergeCells count="2">
    <mergeCell ref="B2:AG2"/>
    <mergeCell ref="R3:AF3"/>
  </mergeCells>
  <conditionalFormatting sqref="AP4">
    <cfRule type="cellIs" dxfId="7" priority="1" operator="greaterThan">
      <formula>0.1</formula>
    </cfRule>
    <cfRule type="cellIs" dxfId="6" priority="2" operator="lessThan">
      <formula>0.1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49FD-ACE4-4D30-B60A-B674D6F351C7}">
  <dimension ref="A1:AP53"/>
  <sheetViews>
    <sheetView topLeftCell="D1" zoomScale="134" zoomScaleNormal="91" workbookViewId="0">
      <selection activeCell="T27" sqref="T27"/>
    </sheetView>
  </sheetViews>
  <sheetFormatPr baseColWidth="10" defaultRowHeight="14" x14ac:dyDescent="0.3"/>
  <cols>
    <col min="1" max="1" width="10.90625" style="44"/>
    <col min="2" max="2" width="25.08984375" style="44" customWidth="1"/>
    <col min="3" max="11" width="10.6328125" style="44" customWidth="1"/>
    <col min="12" max="17" width="10.90625" style="44"/>
    <col min="18" max="32" width="7.81640625" style="44" customWidth="1"/>
    <col min="33" max="16384" width="10.90625" style="44"/>
  </cols>
  <sheetData>
    <row r="1" spans="1:42" ht="14.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42" ht="14.5" thickBot="1" x14ac:dyDescent="0.35">
      <c r="A2" s="1"/>
      <c r="B2" s="165" t="s">
        <v>13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7"/>
      <c r="AH2" s="1"/>
    </row>
    <row r="3" spans="1:42" s="47" customFormat="1" ht="42.5" thickBot="1" x14ac:dyDescent="0.35">
      <c r="A3" s="1"/>
      <c r="B3" s="12" t="s">
        <v>0</v>
      </c>
      <c r="C3" s="45" t="s">
        <v>22</v>
      </c>
      <c r="D3" s="45" t="s">
        <v>29</v>
      </c>
      <c r="E3" s="14" t="s">
        <v>18</v>
      </c>
      <c r="F3" s="46" t="s">
        <v>24</v>
      </c>
      <c r="G3" s="46" t="s">
        <v>31</v>
      </c>
      <c r="H3" s="45" t="s">
        <v>25</v>
      </c>
      <c r="I3" s="45" t="s">
        <v>27</v>
      </c>
      <c r="J3" s="46" t="s">
        <v>20</v>
      </c>
      <c r="K3" s="45" t="s">
        <v>19</v>
      </c>
      <c r="L3" s="46" t="s">
        <v>32</v>
      </c>
      <c r="M3" s="46" t="s">
        <v>26</v>
      </c>
      <c r="N3" s="45" t="s">
        <v>30</v>
      </c>
      <c r="O3" s="46" t="s">
        <v>28</v>
      </c>
      <c r="P3" s="46" t="s">
        <v>23</v>
      </c>
      <c r="Q3" s="45" t="s">
        <v>21</v>
      </c>
      <c r="R3" s="168" t="s">
        <v>8</v>
      </c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69"/>
      <c r="AG3" s="12" t="s">
        <v>12</v>
      </c>
      <c r="AH3" s="1"/>
      <c r="AI3" s="14" t="s">
        <v>43</v>
      </c>
      <c r="AJ3" s="12" t="s">
        <v>41</v>
      </c>
      <c r="AK3" s="12" t="s">
        <v>45</v>
      </c>
      <c r="AL3" s="12" t="s">
        <v>44</v>
      </c>
      <c r="AM3" s="12" t="s">
        <v>46</v>
      </c>
      <c r="AN3" s="1"/>
      <c r="AO3" s="12" t="s">
        <v>42</v>
      </c>
      <c r="AP3" s="39">
        <f>(AK4-AL4)/(AL4-1)</f>
        <v>4.8736524962358301E-2</v>
      </c>
    </row>
    <row r="4" spans="1:42" ht="15" thickBot="1" x14ac:dyDescent="0.4">
      <c r="A4" s="1"/>
      <c r="B4" s="48" t="s">
        <v>22</v>
      </c>
      <c r="C4" s="87">
        <f>IF(I24=0,1,
 IF(I24&lt;1,"",
 IF(AND(I24&gt;=1,I24&lt;1.25),1,
 IF(AND(I24&gt;=1.25,I24&lt;1.5),3,
 IF(AND(I24&gt;=1.5,I24&lt;2),5,
 IF(AND(I24&gt;=2,I24&lt;3),7,
 IF(I24&gt;=3,9,
 "")))))))</f>
        <v>1</v>
      </c>
      <c r="D4" s="87">
        <f t="shared" ref="D4:N4" si="0">IF(J24=0,1,
 IF(J24&lt;1,"",
 IF(AND(J24&gt;=1,J24&lt;1.25),1,
 IF(AND(J24&gt;=1.25,J24&lt;1.5),3,
 IF(AND(J24&gt;=1.5,J24&lt;2),5,
 IF(AND(J24&gt;=2,J24&lt;3),7,
 IF(J24&gt;=3,9,
 "")))))))</f>
        <v>3</v>
      </c>
      <c r="E4" s="87">
        <f t="shared" si="0"/>
        <v>3</v>
      </c>
      <c r="F4" s="87">
        <f t="shared" si="0"/>
        <v>1</v>
      </c>
      <c r="G4" s="87">
        <f t="shared" si="0"/>
        <v>7</v>
      </c>
      <c r="H4" s="87">
        <f t="shared" si="0"/>
        <v>7</v>
      </c>
      <c r="I4" s="87">
        <v>1</v>
      </c>
      <c r="J4" s="87">
        <f t="shared" si="0"/>
        <v>1</v>
      </c>
      <c r="K4" s="87">
        <v>0.33333333333333331</v>
      </c>
      <c r="L4" s="87">
        <v>0.33333333333333331</v>
      </c>
      <c r="M4" s="87">
        <v>1</v>
      </c>
      <c r="N4" s="87">
        <f t="shared" si="0"/>
        <v>7</v>
      </c>
      <c r="O4" s="87">
        <v>1</v>
      </c>
      <c r="P4" s="87">
        <v>1</v>
      </c>
      <c r="Q4" s="87">
        <v>1</v>
      </c>
      <c r="R4" s="65">
        <f>C4/C$19</f>
        <v>6.6246056782334389E-2</v>
      </c>
      <c r="S4" s="65">
        <f t="shared" ref="S4:AF4" si="1">D4/D$19</f>
        <v>7.0422535211267609E-2</v>
      </c>
      <c r="T4" s="65">
        <f t="shared" si="1"/>
        <v>8.2095387021110244E-2</v>
      </c>
      <c r="U4" s="65">
        <f t="shared" si="1"/>
        <v>6.6246056782334389E-2</v>
      </c>
      <c r="V4" s="65">
        <f t="shared" si="1"/>
        <v>8.2352941176470587E-2</v>
      </c>
      <c r="W4" s="65">
        <f t="shared" si="1"/>
        <v>8.2352941176470587E-2</v>
      </c>
      <c r="X4" s="65">
        <f t="shared" si="1"/>
        <v>9.1225021720243271E-2</v>
      </c>
      <c r="Y4" s="65">
        <f t="shared" si="1"/>
        <v>5.6300268096514755E-2</v>
      </c>
      <c r="Z4" s="65">
        <f t="shared" si="1"/>
        <v>3.7892457596535548E-2</v>
      </c>
      <c r="AA4" s="65">
        <f t="shared" si="1"/>
        <v>4.504504504504505E-2</v>
      </c>
      <c r="AB4" s="65">
        <f t="shared" si="1"/>
        <v>9.871513632090255E-2</v>
      </c>
      <c r="AC4" s="65">
        <f t="shared" si="1"/>
        <v>7.5268817204301078E-2</v>
      </c>
      <c r="AD4" s="65">
        <f t="shared" si="1"/>
        <v>7.636363636363637E-2</v>
      </c>
      <c r="AE4" s="65">
        <f t="shared" si="1"/>
        <v>9.1489979668893398E-2</v>
      </c>
      <c r="AF4" s="65">
        <f t="shared" si="1"/>
        <v>7.636363636363637E-2</v>
      </c>
      <c r="AG4" s="39">
        <f>AVERAGE(R4:AF4)</f>
        <v>7.3225327768646417E-2</v>
      </c>
      <c r="AH4" s="1"/>
      <c r="AI4" s="96">
        <f>SUMPRODUCT(C4:Q4,$C$20:$Q$20)</f>
        <v>1.149617990146752</v>
      </c>
      <c r="AJ4" s="97">
        <f>AI4/AG4</f>
        <v>15.699731570733848</v>
      </c>
      <c r="AK4" s="98">
        <f>AVERAGE(AJ4:AJ18)</f>
        <v>15.682311349473016</v>
      </c>
      <c r="AL4" s="98">
        <v>15</v>
      </c>
      <c r="AM4" s="97">
        <f>(1.86668*(15-2))/15</f>
        <v>1.6177893333333333</v>
      </c>
      <c r="AN4" s="35"/>
      <c r="AO4" s="92" t="s">
        <v>10</v>
      </c>
      <c r="AP4" s="34">
        <f>AP3/AM4</f>
        <v>3.0125384039923389E-2</v>
      </c>
    </row>
    <row r="5" spans="1:42" ht="15" thickBot="1" x14ac:dyDescent="0.4">
      <c r="A5" s="1"/>
      <c r="B5" s="48" t="s">
        <v>29</v>
      </c>
      <c r="C5" s="87">
        <v>0.33333333333333331</v>
      </c>
      <c r="D5" s="87">
        <f t="shared" ref="D5:D18" si="2">IF(J25=0,1,
 IF(J25&lt;1,"",
 IF(AND(J25&gt;=1,J25&lt;1.25),1,
 IF(AND(J25&gt;=1.25,J25&lt;1.5),3,
 IF(AND(J25&gt;=1.5,J25&lt;2),5,
 IF(AND(J25&gt;=2,J25&lt;3),7,
 IF(J25&gt;=3,9,
 "")))))))</f>
        <v>1</v>
      </c>
      <c r="E5" s="87">
        <v>1</v>
      </c>
      <c r="F5" s="87">
        <v>0.33333333333333331</v>
      </c>
      <c r="G5" s="87">
        <f t="shared" ref="G5:G18" si="3">IF(M25=0,1,
 IF(M25&lt;1,"",
 IF(AND(M25&gt;=1,M25&lt;1.25),1,
 IF(AND(M25&gt;=1.25,M25&lt;1.5),3,
 IF(AND(M25&gt;=1.5,M25&lt;2),5,
 IF(AND(M25&gt;=2,M25&lt;3),7,
 IF(M25&gt;=3,9,
 "")))))))</f>
        <v>5</v>
      </c>
      <c r="H5" s="87">
        <f t="shared" ref="H5:H18" si="4">IF(N25=0,1,
 IF(N25&lt;1,"",
 IF(AND(N25&gt;=1,N25&lt;1.25),1,
 IF(AND(N25&gt;=1.25,N25&lt;1.5),3,
 IF(AND(N25&gt;=1.5,N25&lt;2),5,
 IF(AND(N25&gt;=2,N25&lt;3),7,
 IF(N25&gt;=3,9,
 "")))))))</f>
        <v>5</v>
      </c>
      <c r="I5" s="87">
        <v>0.2</v>
      </c>
      <c r="J5" s="87">
        <v>0.33333333333333331</v>
      </c>
      <c r="K5" s="87">
        <v>0.2</v>
      </c>
      <c r="L5" s="87">
        <v>0.2</v>
      </c>
      <c r="M5" s="87">
        <v>0.2</v>
      </c>
      <c r="N5" s="87">
        <f t="shared" ref="N5:N18" si="5">IF(T25=0,1,
 IF(T25&lt;1,"",
 IF(AND(T25&gt;=1,T25&lt;1.25),1,
 IF(AND(T25&gt;=1.25,T25&lt;1.5),3,
 IF(AND(T25&gt;=1.5,T25&lt;2),5,
 IF(AND(T25&gt;=2,T25&lt;3),7,
 IF(T25&gt;=3,9,
 "")))))))</f>
        <v>5</v>
      </c>
      <c r="O5" s="87">
        <v>0.33333333333333331</v>
      </c>
      <c r="P5" s="87">
        <v>0.2</v>
      </c>
      <c r="Q5" s="87">
        <v>0.33333333333333331</v>
      </c>
      <c r="R5" s="65">
        <f t="shared" ref="R5:R18" si="6">C5/C$19</f>
        <v>2.2082018927444793E-2</v>
      </c>
      <c r="S5" s="65">
        <f t="shared" ref="S5:S18" si="7">D5/D$19</f>
        <v>2.3474178403755871E-2</v>
      </c>
      <c r="T5" s="65">
        <f t="shared" ref="T5:T18" si="8">E5/E$19</f>
        <v>2.7365129007036745E-2</v>
      </c>
      <c r="U5" s="65">
        <f t="shared" ref="U5:U18" si="9">F5/F$19</f>
        <v>2.2082018927444793E-2</v>
      </c>
      <c r="V5" s="65">
        <f t="shared" ref="V5:V18" si="10">G5/G$19</f>
        <v>5.8823529411764705E-2</v>
      </c>
      <c r="W5" s="65">
        <f t="shared" ref="W5:W18" si="11">H5/H$19</f>
        <v>5.8823529411764705E-2</v>
      </c>
      <c r="X5" s="65">
        <f t="shared" ref="X5:X18" si="12">I5/I$19</f>
        <v>1.8245004344048653E-2</v>
      </c>
      <c r="Y5" s="65">
        <f t="shared" ref="Y5:Y18" si="13">J5/J$19</f>
        <v>1.8766756032171584E-2</v>
      </c>
      <c r="Z5" s="65">
        <f t="shared" ref="Z5:Z18" si="14">K5/K$19</f>
        <v>2.2735474557921333E-2</v>
      </c>
      <c r="AA5" s="65">
        <f t="shared" ref="AA5:AA18" si="15">L5/L$19</f>
        <v>2.7027027027027032E-2</v>
      </c>
      <c r="AB5" s="65">
        <f t="shared" ref="AB5:AB18" si="16">M5/M$19</f>
        <v>1.9743027264180511E-2</v>
      </c>
      <c r="AC5" s="65">
        <f t="shared" ref="AC5:AC18" si="17">N5/N$19</f>
        <v>5.3763440860215055E-2</v>
      </c>
      <c r="AD5" s="65">
        <f t="shared" ref="AD5:AD18" si="18">O5/O$19</f>
        <v>2.5454545454545455E-2</v>
      </c>
      <c r="AE5" s="65">
        <f t="shared" ref="AE5:AE18" si="19">P5/P$19</f>
        <v>1.829799593377868E-2</v>
      </c>
      <c r="AF5" s="65">
        <f t="shared" ref="AF5:AF18" si="20">Q5/Q$19</f>
        <v>2.5454545454545455E-2</v>
      </c>
      <c r="AG5" s="39">
        <f t="shared" ref="AG5:AG18" si="21">AVERAGE(R5:AF5)</f>
        <v>2.9475881401176358E-2</v>
      </c>
      <c r="AH5" s="1"/>
      <c r="AI5" s="96">
        <f t="shared" ref="AI5:AI18" si="22">SUMPRODUCT(C5:Q5,$C$20:$Q$20)</f>
        <v>0.45522424071037326</v>
      </c>
      <c r="AJ5" s="97">
        <f>AI5/AG5</f>
        <v>15.443956857968821</v>
      </c>
      <c r="AK5" s="35"/>
      <c r="AL5" s="35"/>
      <c r="AM5" s="35"/>
      <c r="AN5" s="35"/>
      <c r="AO5" s="35"/>
      <c r="AP5" s="35"/>
    </row>
    <row r="6" spans="1:42" ht="15" thickBot="1" x14ac:dyDescent="0.4">
      <c r="A6" s="1"/>
      <c r="B6" s="49" t="s">
        <v>18</v>
      </c>
      <c r="C6" s="87">
        <v>0.33333333333333331</v>
      </c>
      <c r="D6" s="87">
        <f t="shared" si="2"/>
        <v>1</v>
      </c>
      <c r="E6" s="87">
        <f t="shared" ref="E6:E18" si="23">IF(K26=0,1,
 IF(K26&lt;1,"",
 IF(AND(K26&gt;=1,K26&lt;1.25),1,
 IF(AND(K26&gt;=1.25,K26&lt;1.5),3,
 IF(AND(K26&gt;=1.5,K26&lt;2),5,
 IF(AND(K26&gt;=2,K26&lt;3),7,
 IF(K26&gt;=3,9,
 "")))))))</f>
        <v>1</v>
      </c>
      <c r="F6" s="87">
        <v>0.33333333333333331</v>
      </c>
      <c r="G6" s="87">
        <f t="shared" si="3"/>
        <v>5</v>
      </c>
      <c r="H6" s="87">
        <f t="shared" si="4"/>
        <v>5</v>
      </c>
      <c r="I6" s="87">
        <v>0.33333333333333331</v>
      </c>
      <c r="J6" s="87">
        <v>1</v>
      </c>
      <c r="K6" s="87">
        <v>0.2</v>
      </c>
      <c r="L6" s="87">
        <v>0.2</v>
      </c>
      <c r="M6" s="87">
        <v>0.2</v>
      </c>
      <c r="N6" s="87">
        <f t="shared" si="5"/>
        <v>7</v>
      </c>
      <c r="O6" s="87">
        <v>0.33333333333333331</v>
      </c>
      <c r="P6" s="87">
        <v>0.33333333333333331</v>
      </c>
      <c r="Q6" s="87">
        <v>0.33333333333333331</v>
      </c>
      <c r="R6" s="65">
        <f t="shared" si="6"/>
        <v>2.2082018927444793E-2</v>
      </c>
      <c r="S6" s="65">
        <f t="shared" si="7"/>
        <v>2.3474178403755871E-2</v>
      </c>
      <c r="T6" s="65">
        <f t="shared" si="8"/>
        <v>2.7365129007036745E-2</v>
      </c>
      <c r="U6" s="65">
        <f t="shared" si="9"/>
        <v>2.2082018927444793E-2</v>
      </c>
      <c r="V6" s="65">
        <f t="shared" si="10"/>
        <v>5.8823529411764705E-2</v>
      </c>
      <c r="W6" s="65">
        <f t="shared" si="11"/>
        <v>5.8823529411764705E-2</v>
      </c>
      <c r="X6" s="65">
        <f t="shared" si="12"/>
        <v>3.0408340573414419E-2</v>
      </c>
      <c r="Y6" s="65">
        <f t="shared" si="13"/>
        <v>5.6300268096514755E-2</v>
      </c>
      <c r="Z6" s="65">
        <f t="shared" si="14"/>
        <v>2.2735474557921333E-2</v>
      </c>
      <c r="AA6" s="65">
        <f t="shared" si="15"/>
        <v>2.7027027027027032E-2</v>
      </c>
      <c r="AB6" s="65">
        <f t="shared" si="16"/>
        <v>1.9743027264180511E-2</v>
      </c>
      <c r="AC6" s="65">
        <f t="shared" si="17"/>
        <v>7.5268817204301078E-2</v>
      </c>
      <c r="AD6" s="65">
        <f t="shared" si="18"/>
        <v>2.5454545454545455E-2</v>
      </c>
      <c r="AE6" s="65">
        <f t="shared" si="19"/>
        <v>3.0496659889631132E-2</v>
      </c>
      <c r="AF6" s="65">
        <f t="shared" si="20"/>
        <v>2.5454545454545455E-2</v>
      </c>
      <c r="AG6" s="39">
        <f t="shared" si="21"/>
        <v>3.5035940640752862E-2</v>
      </c>
      <c r="AH6" s="1"/>
      <c r="AI6" s="96">
        <f t="shared" si="22"/>
        <v>0.54265010229500299</v>
      </c>
      <c r="AJ6" s="97">
        <f t="shared" ref="AJ6:AJ18" si="24">AI6/AG6</f>
        <v>15.488383995713448</v>
      </c>
      <c r="AK6" s="90"/>
      <c r="AL6" s="90"/>
      <c r="AM6" s="90"/>
      <c r="AN6" s="35"/>
      <c r="AO6" s="1"/>
      <c r="AP6" s="35"/>
    </row>
    <row r="7" spans="1:42" ht="15" thickBot="1" x14ac:dyDescent="0.4">
      <c r="A7" s="1"/>
      <c r="B7" s="50" t="s">
        <v>24</v>
      </c>
      <c r="C7" s="87">
        <v>1</v>
      </c>
      <c r="D7" s="87">
        <f t="shared" si="2"/>
        <v>3</v>
      </c>
      <c r="E7" s="87">
        <f t="shared" si="23"/>
        <v>3</v>
      </c>
      <c r="F7" s="87">
        <f t="shared" ref="F7:F18" si="25">IF(L27=0,1,
 IF(L27&lt;1,"",
 IF(AND(L27&gt;=1,L27&lt;1.25),1,
 IF(AND(L27&gt;=1.25,L27&lt;1.5),3,
 IF(AND(L27&gt;=1.5,L27&lt;2),5,
 IF(AND(L27&gt;=2,L27&lt;3),7,
 IF(L27&gt;=3,9,
 "")))))))</f>
        <v>1</v>
      </c>
      <c r="G7" s="87">
        <f t="shared" si="3"/>
        <v>7</v>
      </c>
      <c r="H7" s="87">
        <f t="shared" si="4"/>
        <v>7</v>
      </c>
      <c r="I7" s="87">
        <v>1</v>
      </c>
      <c r="J7" s="87">
        <f t="shared" ref="J7:J18" si="26">IF(P27=0,1,
 IF(P27&lt;1,"",
 IF(AND(P27&gt;=1,P27&lt;1.25),1,
 IF(AND(P27&gt;=1.25,P27&lt;1.5),3,
 IF(AND(P27&gt;=1.5,P27&lt;2),5,
 IF(AND(P27&gt;=2,P27&lt;3),7,
 IF(P27&gt;=3,9,
 "")))))))</f>
        <v>1</v>
      </c>
      <c r="K7" s="87">
        <v>0.33333333333333331</v>
      </c>
      <c r="L7" s="87">
        <v>0.33333333333333331</v>
      </c>
      <c r="M7" s="87">
        <v>1</v>
      </c>
      <c r="N7" s="87">
        <f t="shared" si="5"/>
        <v>7</v>
      </c>
      <c r="O7" s="87">
        <v>1</v>
      </c>
      <c r="P7" s="87">
        <v>1</v>
      </c>
      <c r="Q7" s="87">
        <v>1</v>
      </c>
      <c r="R7" s="65">
        <f t="shared" si="6"/>
        <v>6.6246056782334389E-2</v>
      </c>
      <c r="S7" s="65">
        <f t="shared" si="7"/>
        <v>7.0422535211267609E-2</v>
      </c>
      <c r="T7" s="65">
        <f t="shared" si="8"/>
        <v>8.2095387021110244E-2</v>
      </c>
      <c r="U7" s="65">
        <f t="shared" si="9"/>
        <v>6.6246056782334389E-2</v>
      </c>
      <c r="V7" s="65">
        <f t="shared" si="10"/>
        <v>8.2352941176470587E-2</v>
      </c>
      <c r="W7" s="65">
        <f t="shared" si="11"/>
        <v>8.2352941176470587E-2</v>
      </c>
      <c r="X7" s="65">
        <f t="shared" si="12"/>
        <v>9.1225021720243271E-2</v>
      </c>
      <c r="Y7" s="65">
        <f t="shared" si="13"/>
        <v>5.6300268096514755E-2</v>
      </c>
      <c r="Z7" s="65">
        <f t="shared" si="14"/>
        <v>3.7892457596535548E-2</v>
      </c>
      <c r="AA7" s="65">
        <f t="shared" si="15"/>
        <v>4.504504504504505E-2</v>
      </c>
      <c r="AB7" s="65">
        <f t="shared" si="16"/>
        <v>9.871513632090255E-2</v>
      </c>
      <c r="AC7" s="65">
        <f t="shared" si="17"/>
        <v>7.5268817204301078E-2</v>
      </c>
      <c r="AD7" s="65">
        <f t="shared" si="18"/>
        <v>7.636363636363637E-2</v>
      </c>
      <c r="AE7" s="65">
        <f t="shared" si="19"/>
        <v>9.1489979668893398E-2</v>
      </c>
      <c r="AF7" s="65">
        <f t="shared" si="20"/>
        <v>7.636363636363637E-2</v>
      </c>
      <c r="AG7" s="39">
        <f t="shared" si="21"/>
        <v>7.3225327768646417E-2</v>
      </c>
      <c r="AH7" s="1"/>
      <c r="AI7" s="96">
        <f t="shared" si="22"/>
        <v>1.149617990146752</v>
      </c>
      <c r="AJ7" s="97">
        <f t="shared" si="24"/>
        <v>15.699731570733848</v>
      </c>
      <c r="AK7" s="90"/>
      <c r="AL7" s="90"/>
      <c r="AM7" s="90"/>
      <c r="AN7" s="1"/>
      <c r="AO7" s="1"/>
      <c r="AP7" s="35"/>
    </row>
    <row r="8" spans="1:42" ht="15" thickBot="1" x14ac:dyDescent="0.4">
      <c r="A8" s="1"/>
      <c r="B8" s="50" t="s">
        <v>31</v>
      </c>
      <c r="C8" s="87">
        <v>0.14285714285714285</v>
      </c>
      <c r="D8" s="87">
        <v>0.2</v>
      </c>
      <c r="E8" s="87">
        <v>0.2</v>
      </c>
      <c r="F8" s="87">
        <v>0.14285714285714285</v>
      </c>
      <c r="G8" s="87">
        <f t="shared" si="3"/>
        <v>1</v>
      </c>
      <c r="H8" s="87">
        <v>1</v>
      </c>
      <c r="I8" s="87">
        <v>0.14285714285714285</v>
      </c>
      <c r="J8" s="87">
        <v>0.14285714285714285</v>
      </c>
      <c r="K8" s="87">
        <v>0.14285714285714285</v>
      </c>
      <c r="L8" s="87">
        <v>0.1111111111111111</v>
      </c>
      <c r="M8" s="87">
        <v>0.14285714285714285</v>
      </c>
      <c r="N8" s="87">
        <f t="shared" si="5"/>
        <v>1</v>
      </c>
      <c r="O8" s="87">
        <v>0.14285714285714285</v>
      </c>
      <c r="P8" s="87">
        <v>0.14285714285714285</v>
      </c>
      <c r="Q8" s="87">
        <v>0.14285714285714285</v>
      </c>
      <c r="R8" s="65">
        <f t="shared" si="6"/>
        <v>9.4637223974763408E-3</v>
      </c>
      <c r="S8" s="65">
        <f t="shared" si="7"/>
        <v>4.6948356807511747E-3</v>
      </c>
      <c r="T8" s="65">
        <f t="shared" si="8"/>
        <v>5.4730258014073496E-3</v>
      </c>
      <c r="U8" s="65">
        <f t="shared" si="9"/>
        <v>9.4637223974763408E-3</v>
      </c>
      <c r="V8" s="65">
        <f t="shared" si="10"/>
        <v>1.1764705882352941E-2</v>
      </c>
      <c r="W8" s="65">
        <f t="shared" si="11"/>
        <v>1.1764705882352941E-2</v>
      </c>
      <c r="X8" s="65">
        <f t="shared" si="12"/>
        <v>1.3032145960034752E-2</v>
      </c>
      <c r="Y8" s="65">
        <f t="shared" si="13"/>
        <v>8.0428954423592495E-3</v>
      </c>
      <c r="Z8" s="65">
        <f t="shared" si="14"/>
        <v>1.6239624684229521E-2</v>
      </c>
      <c r="AA8" s="65">
        <f t="shared" si="15"/>
        <v>1.5015015015015017E-2</v>
      </c>
      <c r="AB8" s="65">
        <f t="shared" si="16"/>
        <v>1.4102162331557505E-2</v>
      </c>
      <c r="AC8" s="65">
        <f t="shared" si="17"/>
        <v>1.0752688172043012E-2</v>
      </c>
      <c r="AD8" s="65">
        <f t="shared" si="18"/>
        <v>1.0909090909090908E-2</v>
      </c>
      <c r="AE8" s="65">
        <f t="shared" si="19"/>
        <v>1.30699970955562E-2</v>
      </c>
      <c r="AF8" s="65">
        <f t="shared" si="20"/>
        <v>1.0909090909090908E-2</v>
      </c>
      <c r="AG8" s="39">
        <f t="shared" si="21"/>
        <v>1.0979828570719609E-2</v>
      </c>
      <c r="AH8" s="1"/>
      <c r="AI8" s="96">
        <f t="shared" si="22"/>
        <v>0.16965520142613713</v>
      </c>
      <c r="AJ8" s="97">
        <f t="shared" si="24"/>
        <v>15.451534633114774</v>
      </c>
      <c r="AK8" s="90"/>
      <c r="AL8" s="90"/>
      <c r="AM8" s="90"/>
      <c r="AN8" s="1"/>
      <c r="AO8" s="35"/>
      <c r="AP8" s="35"/>
    </row>
    <row r="9" spans="1:42" ht="15" thickBot="1" x14ac:dyDescent="0.4">
      <c r="A9" s="1"/>
      <c r="B9" s="48" t="s">
        <v>25</v>
      </c>
      <c r="C9" s="87">
        <v>0.14285714285714285</v>
      </c>
      <c r="D9" s="87">
        <v>0.2</v>
      </c>
      <c r="E9" s="87">
        <v>0.2</v>
      </c>
      <c r="F9" s="87">
        <v>0.14285714285714285</v>
      </c>
      <c r="G9" s="87">
        <f t="shared" si="3"/>
        <v>1</v>
      </c>
      <c r="H9" s="87">
        <f t="shared" si="4"/>
        <v>1</v>
      </c>
      <c r="I9" s="87">
        <v>0.14285714285714285</v>
      </c>
      <c r="J9" s="87">
        <v>0.14285714285714285</v>
      </c>
      <c r="K9" s="87">
        <v>0.14285714285714285</v>
      </c>
      <c r="L9" s="87">
        <v>0.1111111111111111</v>
      </c>
      <c r="M9" s="87">
        <v>0.14285714285714285</v>
      </c>
      <c r="N9" s="87">
        <f t="shared" si="5"/>
        <v>1</v>
      </c>
      <c r="O9" s="87">
        <v>0.14285714285714285</v>
      </c>
      <c r="P9" s="87">
        <v>0.14285714285714285</v>
      </c>
      <c r="Q9" s="87">
        <v>0.14285714285714285</v>
      </c>
      <c r="R9" s="65">
        <f t="shared" si="6"/>
        <v>9.4637223974763408E-3</v>
      </c>
      <c r="S9" s="65">
        <f t="shared" si="7"/>
        <v>4.6948356807511747E-3</v>
      </c>
      <c r="T9" s="65">
        <f t="shared" si="8"/>
        <v>5.4730258014073496E-3</v>
      </c>
      <c r="U9" s="65">
        <f t="shared" si="9"/>
        <v>9.4637223974763408E-3</v>
      </c>
      <c r="V9" s="65">
        <f t="shared" si="10"/>
        <v>1.1764705882352941E-2</v>
      </c>
      <c r="W9" s="65">
        <f t="shared" si="11"/>
        <v>1.1764705882352941E-2</v>
      </c>
      <c r="X9" s="65">
        <f t="shared" si="12"/>
        <v>1.3032145960034752E-2</v>
      </c>
      <c r="Y9" s="65">
        <f t="shared" si="13"/>
        <v>8.0428954423592495E-3</v>
      </c>
      <c r="Z9" s="65">
        <f t="shared" si="14"/>
        <v>1.6239624684229521E-2</v>
      </c>
      <c r="AA9" s="65">
        <f t="shared" si="15"/>
        <v>1.5015015015015017E-2</v>
      </c>
      <c r="AB9" s="65">
        <f t="shared" si="16"/>
        <v>1.4102162331557505E-2</v>
      </c>
      <c r="AC9" s="65">
        <f t="shared" si="17"/>
        <v>1.0752688172043012E-2</v>
      </c>
      <c r="AD9" s="65">
        <f t="shared" si="18"/>
        <v>1.0909090909090908E-2</v>
      </c>
      <c r="AE9" s="65">
        <f t="shared" si="19"/>
        <v>1.30699970955562E-2</v>
      </c>
      <c r="AF9" s="65">
        <f t="shared" si="20"/>
        <v>1.0909090909090908E-2</v>
      </c>
      <c r="AG9" s="39">
        <f t="shared" si="21"/>
        <v>1.0979828570719609E-2</v>
      </c>
      <c r="AH9" s="1"/>
      <c r="AI9" s="96">
        <f t="shared" si="22"/>
        <v>0.16965520142613713</v>
      </c>
      <c r="AJ9" s="97">
        <f t="shared" si="24"/>
        <v>15.451534633114774</v>
      </c>
    </row>
    <row r="10" spans="1:42" ht="15" thickBot="1" x14ac:dyDescent="0.4">
      <c r="A10" s="1"/>
      <c r="B10" s="48" t="s">
        <v>27</v>
      </c>
      <c r="C10" s="87">
        <f t="shared" ref="C10:C18" si="27">IF(I30=0,1,
 IF(I30&lt;1,"",
 IF(AND(I30&gt;=1,I30&lt;1.25),1,
 IF(AND(I30&gt;=1.25,I30&lt;1.5),3,
 IF(AND(I30&gt;=1.5,I30&lt;2),5,
 IF(AND(I30&gt;=2,I30&lt;3),7,
 IF(I30&gt;=3,9,
 "")))))))</f>
        <v>1</v>
      </c>
      <c r="D10" s="87">
        <f t="shared" si="2"/>
        <v>5</v>
      </c>
      <c r="E10" s="87">
        <f t="shared" si="23"/>
        <v>3</v>
      </c>
      <c r="F10" s="87">
        <f t="shared" si="25"/>
        <v>1</v>
      </c>
      <c r="G10" s="87">
        <f t="shared" si="3"/>
        <v>7</v>
      </c>
      <c r="H10" s="87">
        <f t="shared" si="4"/>
        <v>7</v>
      </c>
      <c r="I10" s="87">
        <f t="shared" ref="I10:I17" si="28">IF(O30=0,1,
 IF(O30&lt;1,"",
 IF(AND(O30&gt;=1,O30&lt;1.25),1,
 IF(AND(O30&gt;=1.25,O30&lt;1.5),3,
 IF(AND(O30&gt;=1.5,O30&lt;2),5,
 IF(AND(O30&gt;=2,O30&lt;3),7,
 IF(O30&gt;=3,9,
 "")))))))</f>
        <v>1</v>
      </c>
      <c r="J10" s="87">
        <f t="shared" si="26"/>
        <v>1</v>
      </c>
      <c r="K10" s="87">
        <v>1</v>
      </c>
      <c r="L10" s="87">
        <v>1</v>
      </c>
      <c r="M10" s="87">
        <v>1</v>
      </c>
      <c r="N10" s="87">
        <f t="shared" si="5"/>
        <v>7</v>
      </c>
      <c r="O10" s="87">
        <f t="shared" ref="O10:O17" si="29">IF(U30=0,1,
 IF(U30&lt;1,"",
 IF(AND(U30&gt;=1,U30&lt;1.25),1,
 IF(AND(U30&gt;=1.25,U30&lt;1.5),3,
 IF(AND(U30&gt;=1.5,U30&lt;2),5,
 IF(AND(U30&gt;=2,U30&lt;3),7,
 IF(U30&gt;=3,9,
 "")))))))</f>
        <v>1</v>
      </c>
      <c r="P10" s="87">
        <v>1</v>
      </c>
      <c r="Q10" s="87">
        <f t="shared" ref="Q10:Q18" si="30">IF(W30=0,1,
 IF(W30&lt;1,"",
 IF(AND(W30&gt;=1,W30&lt;1.25),1,
 IF(AND(W30&gt;=1.25,W30&lt;1.5),3,
 IF(AND(W30&gt;=1.5,W30&lt;2),5,
 IF(AND(W30&gt;=2,W30&lt;3),7,
 IF(W30&gt;=3,9,
 "")))))))</f>
        <v>1</v>
      </c>
      <c r="R10" s="65">
        <f t="shared" si="6"/>
        <v>6.6246056782334389E-2</v>
      </c>
      <c r="S10" s="65">
        <f t="shared" si="7"/>
        <v>0.11737089201877936</v>
      </c>
      <c r="T10" s="65">
        <f t="shared" si="8"/>
        <v>8.2095387021110244E-2</v>
      </c>
      <c r="U10" s="65">
        <f t="shared" si="9"/>
        <v>6.6246056782334389E-2</v>
      </c>
      <c r="V10" s="65">
        <f t="shared" si="10"/>
        <v>8.2352941176470587E-2</v>
      </c>
      <c r="W10" s="65">
        <f t="shared" si="11"/>
        <v>8.2352941176470587E-2</v>
      </c>
      <c r="X10" s="65">
        <f t="shared" si="12"/>
        <v>9.1225021720243271E-2</v>
      </c>
      <c r="Y10" s="65">
        <f t="shared" si="13"/>
        <v>5.6300268096514755E-2</v>
      </c>
      <c r="Z10" s="65">
        <f t="shared" si="14"/>
        <v>0.11367737278960666</v>
      </c>
      <c r="AA10" s="65">
        <f t="shared" si="15"/>
        <v>0.13513513513513517</v>
      </c>
      <c r="AB10" s="65">
        <f t="shared" si="16"/>
        <v>9.871513632090255E-2</v>
      </c>
      <c r="AC10" s="65">
        <f t="shared" si="17"/>
        <v>7.5268817204301078E-2</v>
      </c>
      <c r="AD10" s="65">
        <f t="shared" si="18"/>
        <v>7.636363636363637E-2</v>
      </c>
      <c r="AE10" s="65">
        <f t="shared" si="19"/>
        <v>9.1489979668893398E-2</v>
      </c>
      <c r="AF10" s="65">
        <f t="shared" si="20"/>
        <v>7.636363636363637E-2</v>
      </c>
      <c r="AG10" s="39">
        <f t="shared" si="21"/>
        <v>8.741355190802462E-2</v>
      </c>
      <c r="AH10" s="1"/>
      <c r="AI10" s="96">
        <f t="shared" si="22"/>
        <v>1.3811280072418046</v>
      </c>
      <c r="AJ10" s="97">
        <f t="shared" si="24"/>
        <v>15.799930069138584</v>
      </c>
    </row>
    <row r="11" spans="1:42" ht="15" thickBot="1" x14ac:dyDescent="0.4">
      <c r="A11" s="1"/>
      <c r="B11" s="50" t="s">
        <v>20</v>
      </c>
      <c r="C11" s="87">
        <v>1</v>
      </c>
      <c r="D11" s="87">
        <f t="shared" si="2"/>
        <v>3</v>
      </c>
      <c r="E11" s="87">
        <f t="shared" si="23"/>
        <v>1</v>
      </c>
      <c r="F11" s="87">
        <v>1</v>
      </c>
      <c r="G11" s="87">
        <f t="shared" si="3"/>
        <v>7</v>
      </c>
      <c r="H11" s="87">
        <f t="shared" si="4"/>
        <v>7</v>
      </c>
      <c r="I11" s="87">
        <v>1</v>
      </c>
      <c r="J11" s="87">
        <f t="shared" si="26"/>
        <v>1</v>
      </c>
      <c r="K11" s="87">
        <v>0.33333333333333331</v>
      </c>
      <c r="L11" s="87">
        <v>0.33333333333333331</v>
      </c>
      <c r="M11" s="87">
        <v>0.33333333333333331</v>
      </c>
      <c r="N11" s="87">
        <f t="shared" si="5"/>
        <v>7</v>
      </c>
      <c r="O11" s="87">
        <v>1</v>
      </c>
      <c r="P11" s="87">
        <v>1</v>
      </c>
      <c r="Q11" s="87">
        <v>1</v>
      </c>
      <c r="R11" s="65">
        <f t="shared" si="6"/>
        <v>6.6246056782334389E-2</v>
      </c>
      <c r="S11" s="65">
        <f t="shared" si="7"/>
        <v>7.0422535211267609E-2</v>
      </c>
      <c r="T11" s="65">
        <f t="shared" si="8"/>
        <v>2.7365129007036745E-2</v>
      </c>
      <c r="U11" s="65">
        <f t="shared" si="9"/>
        <v>6.6246056782334389E-2</v>
      </c>
      <c r="V11" s="65">
        <f t="shared" si="10"/>
        <v>8.2352941176470587E-2</v>
      </c>
      <c r="W11" s="65">
        <f t="shared" si="11"/>
        <v>8.2352941176470587E-2</v>
      </c>
      <c r="X11" s="65">
        <f t="shared" si="12"/>
        <v>9.1225021720243271E-2</v>
      </c>
      <c r="Y11" s="65">
        <f t="shared" si="13"/>
        <v>5.6300268096514755E-2</v>
      </c>
      <c r="Z11" s="65">
        <f t="shared" si="14"/>
        <v>3.7892457596535548E-2</v>
      </c>
      <c r="AA11" s="65">
        <f t="shared" si="15"/>
        <v>4.504504504504505E-2</v>
      </c>
      <c r="AB11" s="65">
        <f t="shared" si="16"/>
        <v>3.2905045440300845E-2</v>
      </c>
      <c r="AC11" s="65">
        <f t="shared" si="17"/>
        <v>7.5268817204301078E-2</v>
      </c>
      <c r="AD11" s="65">
        <f t="shared" si="18"/>
        <v>7.636363636363637E-2</v>
      </c>
      <c r="AE11" s="65">
        <f t="shared" si="19"/>
        <v>9.1489979668893398E-2</v>
      </c>
      <c r="AF11" s="65">
        <f t="shared" si="20"/>
        <v>7.636363636363637E-2</v>
      </c>
      <c r="AG11" s="39">
        <f t="shared" si="21"/>
        <v>6.5189304509001414E-2</v>
      </c>
      <c r="AH11" s="1"/>
      <c r="AI11" s="96">
        <f t="shared" si="22"/>
        <v>1.0128776889020659</v>
      </c>
      <c r="AJ11" s="97">
        <f t="shared" si="24"/>
        <v>15.537482667301759</v>
      </c>
    </row>
    <row r="12" spans="1:42" ht="15" thickBot="1" x14ac:dyDescent="0.4">
      <c r="A12" s="1"/>
      <c r="B12" s="48" t="s">
        <v>19</v>
      </c>
      <c r="C12" s="87">
        <f t="shared" si="27"/>
        <v>3</v>
      </c>
      <c r="D12" s="87">
        <f t="shared" si="2"/>
        <v>5</v>
      </c>
      <c r="E12" s="87">
        <f t="shared" si="23"/>
        <v>5</v>
      </c>
      <c r="F12" s="87">
        <f t="shared" si="25"/>
        <v>3</v>
      </c>
      <c r="G12" s="87">
        <f t="shared" si="3"/>
        <v>7</v>
      </c>
      <c r="H12" s="87">
        <f t="shared" si="4"/>
        <v>7</v>
      </c>
      <c r="I12" s="87">
        <f t="shared" si="28"/>
        <v>1</v>
      </c>
      <c r="J12" s="87">
        <f t="shared" si="26"/>
        <v>3</v>
      </c>
      <c r="K12" s="87">
        <f t="shared" ref="K12:K13" si="31">IF(Q32=0,1,
 IF(Q32&lt;1,"",
 IF(AND(Q32&gt;=1,Q32&lt;1.25),1,
 IF(AND(Q32&gt;=1.25,Q32&lt;1.5),3,
 IF(AND(Q32&gt;=1.5,Q32&lt;2),5,
 IF(AND(Q32&gt;=2,Q32&lt;3),7,
 IF(Q32&gt;=3,9,
 "")))))))</f>
        <v>1</v>
      </c>
      <c r="L12" s="87">
        <v>1</v>
      </c>
      <c r="M12" s="87">
        <f t="shared" ref="M12:M14" si="32">IF(S32=0,1,
 IF(S32&lt;1,"",
 IF(AND(S32&gt;=1,S32&lt;1.25),1,
 IF(AND(S32&gt;=1.25,S32&lt;1.5),3,
 IF(AND(S32&gt;=1.5,S32&lt;2),5,
 IF(AND(S32&gt;=2,S32&lt;3),7,
 IF(S32&gt;=3,9,
 "")))))))</f>
        <v>1</v>
      </c>
      <c r="N12" s="87">
        <f t="shared" si="5"/>
        <v>9</v>
      </c>
      <c r="O12" s="87">
        <f t="shared" si="29"/>
        <v>1</v>
      </c>
      <c r="P12" s="87">
        <f t="shared" ref="P12:P17" si="33">IF(V32=0,1,
 IF(V32&lt;1,"",
 IF(AND(V32&gt;=1,V32&lt;1.25),1,
 IF(AND(V32&gt;=1.25,V32&lt;1.5),3,
 IF(AND(V32&gt;=1.5,V32&lt;2),5,
 IF(AND(V32&gt;=2,V32&lt;3),7,
 IF(V32&gt;=3,9,
 "")))))))</f>
        <v>1</v>
      </c>
      <c r="Q12" s="87">
        <f t="shared" si="30"/>
        <v>1</v>
      </c>
      <c r="R12" s="65">
        <f t="shared" si="6"/>
        <v>0.19873817034700317</v>
      </c>
      <c r="S12" s="65">
        <f t="shared" si="7"/>
        <v>0.11737089201877936</v>
      </c>
      <c r="T12" s="65">
        <f t="shared" si="8"/>
        <v>0.13682564503518374</v>
      </c>
      <c r="U12" s="65">
        <f t="shared" si="9"/>
        <v>0.19873817034700317</v>
      </c>
      <c r="V12" s="65">
        <f t="shared" si="10"/>
        <v>8.2352941176470587E-2</v>
      </c>
      <c r="W12" s="65">
        <f t="shared" si="11"/>
        <v>8.2352941176470587E-2</v>
      </c>
      <c r="X12" s="65">
        <f t="shared" si="12"/>
        <v>9.1225021720243271E-2</v>
      </c>
      <c r="Y12" s="65">
        <f t="shared" si="13"/>
        <v>0.16890080428954427</v>
      </c>
      <c r="Z12" s="65">
        <f t="shared" si="14"/>
        <v>0.11367737278960666</v>
      </c>
      <c r="AA12" s="65">
        <f t="shared" si="15"/>
        <v>0.13513513513513517</v>
      </c>
      <c r="AB12" s="65">
        <f t="shared" si="16"/>
        <v>9.871513632090255E-2</v>
      </c>
      <c r="AC12" s="65">
        <f t="shared" si="17"/>
        <v>9.6774193548387094E-2</v>
      </c>
      <c r="AD12" s="65">
        <f t="shared" si="18"/>
        <v>7.636363636363637E-2</v>
      </c>
      <c r="AE12" s="65">
        <f t="shared" si="19"/>
        <v>9.1489979668893398E-2</v>
      </c>
      <c r="AF12" s="65">
        <f t="shared" si="20"/>
        <v>7.636363636363637E-2</v>
      </c>
      <c r="AG12" s="39">
        <f t="shared" si="21"/>
        <v>0.11766824508672638</v>
      </c>
      <c r="AH12" s="1"/>
      <c r="AI12" s="96">
        <f t="shared" si="22"/>
        <v>1.8949446944515516</v>
      </c>
      <c r="AJ12" s="97">
        <f t="shared" si="24"/>
        <v>16.104129819008506</v>
      </c>
    </row>
    <row r="13" spans="1:42" ht="15" thickBot="1" x14ac:dyDescent="0.4">
      <c r="A13" s="1"/>
      <c r="B13" s="50" t="s">
        <v>32</v>
      </c>
      <c r="C13" s="87">
        <f t="shared" si="27"/>
        <v>3</v>
      </c>
      <c r="D13" s="87">
        <f t="shared" si="2"/>
        <v>5</v>
      </c>
      <c r="E13" s="87">
        <f t="shared" si="23"/>
        <v>5</v>
      </c>
      <c r="F13" s="87">
        <f t="shared" si="25"/>
        <v>3</v>
      </c>
      <c r="G13" s="87">
        <f t="shared" si="3"/>
        <v>9</v>
      </c>
      <c r="H13" s="87">
        <f t="shared" si="4"/>
        <v>9</v>
      </c>
      <c r="I13" s="87">
        <f t="shared" si="28"/>
        <v>1</v>
      </c>
      <c r="J13" s="87">
        <f t="shared" si="26"/>
        <v>3</v>
      </c>
      <c r="K13" s="87">
        <f t="shared" si="31"/>
        <v>1</v>
      </c>
      <c r="L13" s="87">
        <f t="shared" ref="L13" si="34">IF(R33=0,1,
 IF(R33&lt;1,"",
 IF(AND(R33&gt;=1,R33&lt;1.25),1,
 IF(AND(R33&gt;=1.25,R33&lt;1.5),3,
 IF(AND(R33&gt;=1.5,R33&lt;2),5,
 IF(AND(R33&gt;=2,R33&lt;3),7,
 IF(R33&gt;=3,9,
 "")))))))</f>
        <v>1</v>
      </c>
      <c r="M13" s="87">
        <f t="shared" si="32"/>
        <v>1</v>
      </c>
      <c r="N13" s="87">
        <f t="shared" si="5"/>
        <v>9</v>
      </c>
      <c r="O13" s="87">
        <f t="shared" si="29"/>
        <v>3</v>
      </c>
      <c r="P13" s="87">
        <f t="shared" si="33"/>
        <v>1</v>
      </c>
      <c r="Q13" s="87">
        <f t="shared" si="30"/>
        <v>3</v>
      </c>
      <c r="R13" s="65">
        <f t="shared" si="6"/>
        <v>0.19873817034700317</v>
      </c>
      <c r="S13" s="65">
        <f t="shared" si="7"/>
        <v>0.11737089201877936</v>
      </c>
      <c r="T13" s="65">
        <f t="shared" si="8"/>
        <v>0.13682564503518374</v>
      </c>
      <c r="U13" s="65">
        <f t="shared" si="9"/>
        <v>0.19873817034700317</v>
      </c>
      <c r="V13" s="65">
        <f t="shared" si="10"/>
        <v>0.10588235294117647</v>
      </c>
      <c r="W13" s="65">
        <f t="shared" si="11"/>
        <v>0.10588235294117647</v>
      </c>
      <c r="X13" s="65">
        <f t="shared" si="12"/>
        <v>9.1225021720243271E-2</v>
      </c>
      <c r="Y13" s="65">
        <f t="shared" si="13"/>
        <v>0.16890080428954427</v>
      </c>
      <c r="Z13" s="65">
        <f t="shared" si="14"/>
        <v>0.11367737278960666</v>
      </c>
      <c r="AA13" s="65">
        <f t="shared" si="15"/>
        <v>0.13513513513513517</v>
      </c>
      <c r="AB13" s="65">
        <f t="shared" si="16"/>
        <v>9.871513632090255E-2</v>
      </c>
      <c r="AC13" s="65">
        <f t="shared" si="17"/>
        <v>9.6774193548387094E-2</v>
      </c>
      <c r="AD13" s="65">
        <f t="shared" si="18"/>
        <v>0.2290909090909091</v>
      </c>
      <c r="AE13" s="65">
        <f t="shared" si="19"/>
        <v>9.1489979668893398E-2</v>
      </c>
      <c r="AF13" s="65">
        <f t="shared" si="20"/>
        <v>0.2290909090909091</v>
      </c>
      <c r="AG13" s="39">
        <f t="shared" si="21"/>
        <v>0.1411691363523235</v>
      </c>
      <c r="AH13" s="1"/>
      <c r="AI13" s="96">
        <f t="shared" si="22"/>
        <v>2.251974630527168</v>
      </c>
      <c r="AJ13" s="97">
        <f t="shared" si="24"/>
        <v>15.952315702398236</v>
      </c>
    </row>
    <row r="14" spans="1:42" ht="15" thickBot="1" x14ac:dyDescent="0.4">
      <c r="A14" s="1"/>
      <c r="B14" s="50" t="s">
        <v>26</v>
      </c>
      <c r="C14" s="87">
        <f t="shared" si="27"/>
        <v>1</v>
      </c>
      <c r="D14" s="87">
        <f t="shared" si="2"/>
        <v>5</v>
      </c>
      <c r="E14" s="87">
        <f t="shared" si="23"/>
        <v>5</v>
      </c>
      <c r="F14" s="87">
        <f t="shared" si="25"/>
        <v>1</v>
      </c>
      <c r="G14" s="87">
        <f t="shared" si="3"/>
        <v>7</v>
      </c>
      <c r="H14" s="87">
        <f t="shared" si="4"/>
        <v>7</v>
      </c>
      <c r="I14" s="87">
        <f t="shared" si="28"/>
        <v>1</v>
      </c>
      <c r="J14" s="87">
        <f t="shared" si="26"/>
        <v>3</v>
      </c>
      <c r="K14" s="87">
        <v>1</v>
      </c>
      <c r="L14" s="87">
        <v>1</v>
      </c>
      <c r="M14" s="87">
        <f t="shared" si="32"/>
        <v>1</v>
      </c>
      <c r="N14" s="87">
        <f t="shared" si="5"/>
        <v>9</v>
      </c>
      <c r="O14" s="87">
        <f t="shared" si="29"/>
        <v>1</v>
      </c>
      <c r="P14" s="87">
        <f t="shared" si="33"/>
        <v>1</v>
      </c>
      <c r="Q14" s="87">
        <f t="shared" si="30"/>
        <v>1</v>
      </c>
      <c r="R14" s="65">
        <f t="shared" si="6"/>
        <v>6.6246056782334389E-2</v>
      </c>
      <c r="S14" s="65">
        <f t="shared" si="7"/>
        <v>0.11737089201877936</v>
      </c>
      <c r="T14" s="65">
        <f t="shared" si="8"/>
        <v>0.13682564503518374</v>
      </c>
      <c r="U14" s="65">
        <f t="shared" si="9"/>
        <v>6.6246056782334389E-2</v>
      </c>
      <c r="V14" s="65">
        <f t="shared" si="10"/>
        <v>8.2352941176470587E-2</v>
      </c>
      <c r="W14" s="65">
        <f t="shared" si="11"/>
        <v>8.2352941176470587E-2</v>
      </c>
      <c r="X14" s="65">
        <f t="shared" si="12"/>
        <v>9.1225021720243271E-2</v>
      </c>
      <c r="Y14" s="65">
        <f t="shared" si="13"/>
        <v>0.16890080428954427</v>
      </c>
      <c r="Z14" s="65">
        <f t="shared" si="14"/>
        <v>0.11367737278960666</v>
      </c>
      <c r="AA14" s="65">
        <f t="shared" si="15"/>
        <v>0.13513513513513517</v>
      </c>
      <c r="AB14" s="65">
        <f t="shared" si="16"/>
        <v>9.871513632090255E-2</v>
      </c>
      <c r="AC14" s="65">
        <f t="shared" si="17"/>
        <v>9.6774193548387094E-2</v>
      </c>
      <c r="AD14" s="65">
        <f t="shared" si="18"/>
        <v>7.636363636363637E-2</v>
      </c>
      <c r="AE14" s="65">
        <f t="shared" si="19"/>
        <v>9.1489979668893398E-2</v>
      </c>
      <c r="AF14" s="65">
        <f t="shared" si="20"/>
        <v>7.636363636363637E-2</v>
      </c>
      <c r="AG14" s="39">
        <f t="shared" si="21"/>
        <v>0.10000262994477054</v>
      </c>
      <c r="AH14" s="1"/>
      <c r="AI14" s="96">
        <f t="shared" si="22"/>
        <v>1.6020433833769658</v>
      </c>
      <c r="AJ14" s="97">
        <f t="shared" si="24"/>
        <v>16.020012516288247</v>
      </c>
    </row>
    <row r="15" spans="1:42" ht="15" thickBot="1" x14ac:dyDescent="0.4">
      <c r="A15" s="1"/>
      <c r="B15" s="48" t="s">
        <v>30</v>
      </c>
      <c r="C15" s="87">
        <v>0.14285714285714285</v>
      </c>
      <c r="D15" s="87">
        <v>0.2</v>
      </c>
      <c r="E15" s="87">
        <v>0.14285714285714285</v>
      </c>
      <c r="F15" s="87">
        <v>0.14285714285714285</v>
      </c>
      <c r="G15" s="87">
        <v>1</v>
      </c>
      <c r="H15" s="87">
        <v>1</v>
      </c>
      <c r="I15" s="87">
        <v>0.14285714285714285</v>
      </c>
      <c r="J15" s="87">
        <v>0.14285714285714285</v>
      </c>
      <c r="K15" s="87">
        <v>0.1111111111111111</v>
      </c>
      <c r="L15" s="87">
        <v>0.1111111111111111</v>
      </c>
      <c r="M15" s="87">
        <v>0.1111111111111111</v>
      </c>
      <c r="N15" s="87">
        <f t="shared" si="5"/>
        <v>1</v>
      </c>
      <c r="O15" s="87">
        <v>0.14285714285714285</v>
      </c>
      <c r="P15" s="87">
        <v>0.1111111111111111</v>
      </c>
      <c r="Q15" s="87">
        <v>0.14285714285714285</v>
      </c>
      <c r="R15" s="65">
        <f t="shared" si="6"/>
        <v>9.4637223974763408E-3</v>
      </c>
      <c r="S15" s="65">
        <f t="shared" si="7"/>
        <v>4.6948356807511747E-3</v>
      </c>
      <c r="T15" s="65">
        <f t="shared" si="8"/>
        <v>3.9093041438623922E-3</v>
      </c>
      <c r="U15" s="65">
        <f t="shared" si="9"/>
        <v>9.4637223974763408E-3</v>
      </c>
      <c r="V15" s="65">
        <f t="shared" si="10"/>
        <v>1.1764705882352941E-2</v>
      </c>
      <c r="W15" s="65">
        <f t="shared" si="11"/>
        <v>1.1764705882352941E-2</v>
      </c>
      <c r="X15" s="65">
        <f t="shared" si="12"/>
        <v>1.3032145960034752E-2</v>
      </c>
      <c r="Y15" s="65">
        <f t="shared" si="13"/>
        <v>8.0428954423592495E-3</v>
      </c>
      <c r="Z15" s="65">
        <f t="shared" si="14"/>
        <v>1.2630819198845183E-2</v>
      </c>
      <c r="AA15" s="65">
        <f t="shared" si="15"/>
        <v>1.5015015015015017E-2</v>
      </c>
      <c r="AB15" s="65">
        <f t="shared" si="16"/>
        <v>1.0968348480100282E-2</v>
      </c>
      <c r="AC15" s="65">
        <f t="shared" si="17"/>
        <v>1.0752688172043012E-2</v>
      </c>
      <c r="AD15" s="65">
        <f t="shared" si="18"/>
        <v>1.0909090909090908E-2</v>
      </c>
      <c r="AE15" s="65">
        <f t="shared" si="19"/>
        <v>1.0165553296543711E-2</v>
      </c>
      <c r="AF15" s="65">
        <f t="shared" si="20"/>
        <v>1.0909090909090908E-2</v>
      </c>
      <c r="AG15" s="39">
        <f t="shared" si="21"/>
        <v>1.0232442917826342E-2</v>
      </c>
      <c r="AH15" s="1"/>
      <c r="AI15" s="96">
        <f t="shared" si="22"/>
        <v>0.15792241374838639</v>
      </c>
      <c r="AJ15" s="97">
        <f t="shared" si="24"/>
        <v>15.433500584035855</v>
      </c>
    </row>
    <row r="16" spans="1:42" ht="15" thickBot="1" x14ac:dyDescent="0.4">
      <c r="A16" s="1"/>
      <c r="B16" s="50" t="s">
        <v>28</v>
      </c>
      <c r="C16" s="87">
        <f t="shared" si="27"/>
        <v>1</v>
      </c>
      <c r="D16" s="87">
        <f t="shared" si="2"/>
        <v>3</v>
      </c>
      <c r="E16" s="87">
        <f t="shared" si="23"/>
        <v>3</v>
      </c>
      <c r="F16" s="87">
        <f t="shared" si="25"/>
        <v>1</v>
      </c>
      <c r="G16" s="87">
        <f t="shared" si="3"/>
        <v>7</v>
      </c>
      <c r="H16" s="87">
        <f t="shared" si="4"/>
        <v>7</v>
      </c>
      <c r="I16" s="87">
        <v>1</v>
      </c>
      <c r="J16" s="87">
        <f t="shared" si="26"/>
        <v>1</v>
      </c>
      <c r="K16" s="87">
        <v>1</v>
      </c>
      <c r="L16" s="87">
        <v>0.33333333333333331</v>
      </c>
      <c r="M16" s="87">
        <v>1</v>
      </c>
      <c r="N16" s="87">
        <f t="shared" si="5"/>
        <v>7</v>
      </c>
      <c r="O16" s="87">
        <f t="shared" si="29"/>
        <v>1</v>
      </c>
      <c r="P16" s="87">
        <v>1</v>
      </c>
      <c r="Q16" s="87">
        <f t="shared" si="30"/>
        <v>1</v>
      </c>
      <c r="R16" s="65">
        <f t="shared" si="6"/>
        <v>6.6246056782334389E-2</v>
      </c>
      <c r="S16" s="65">
        <f t="shared" si="7"/>
        <v>7.0422535211267609E-2</v>
      </c>
      <c r="T16" s="65">
        <f t="shared" si="8"/>
        <v>8.2095387021110244E-2</v>
      </c>
      <c r="U16" s="65">
        <f t="shared" si="9"/>
        <v>6.6246056782334389E-2</v>
      </c>
      <c r="V16" s="65">
        <f t="shared" si="10"/>
        <v>8.2352941176470587E-2</v>
      </c>
      <c r="W16" s="65">
        <f t="shared" si="11"/>
        <v>8.2352941176470587E-2</v>
      </c>
      <c r="X16" s="65">
        <f t="shared" si="12"/>
        <v>9.1225021720243271E-2</v>
      </c>
      <c r="Y16" s="65">
        <f t="shared" si="13"/>
        <v>5.6300268096514755E-2</v>
      </c>
      <c r="Z16" s="65">
        <f t="shared" si="14"/>
        <v>0.11367737278960666</v>
      </c>
      <c r="AA16" s="65">
        <f t="shared" si="15"/>
        <v>4.504504504504505E-2</v>
      </c>
      <c r="AB16" s="65">
        <f t="shared" si="16"/>
        <v>9.871513632090255E-2</v>
      </c>
      <c r="AC16" s="65">
        <f t="shared" si="17"/>
        <v>7.5268817204301078E-2</v>
      </c>
      <c r="AD16" s="65">
        <f t="shared" si="18"/>
        <v>7.636363636363637E-2</v>
      </c>
      <c r="AE16" s="65">
        <f t="shared" si="19"/>
        <v>9.1489979668893398E-2</v>
      </c>
      <c r="AF16" s="65">
        <f t="shared" si="20"/>
        <v>7.636363636363637E-2</v>
      </c>
      <c r="AG16" s="39">
        <f t="shared" si="21"/>
        <v>7.8277655448184505E-2</v>
      </c>
      <c r="AH16" s="1"/>
      <c r="AI16" s="96">
        <f t="shared" si="22"/>
        <v>1.2280634868712361</v>
      </c>
      <c r="AJ16" s="97">
        <f t="shared" si="24"/>
        <v>15.688557351901609</v>
      </c>
    </row>
    <row r="17" spans="1:36" ht="15" thickBot="1" x14ac:dyDescent="0.4">
      <c r="A17" s="1"/>
      <c r="B17" s="50" t="s">
        <v>23</v>
      </c>
      <c r="C17" s="87">
        <f t="shared" si="27"/>
        <v>1</v>
      </c>
      <c r="D17" s="87">
        <f t="shared" si="2"/>
        <v>5</v>
      </c>
      <c r="E17" s="87">
        <f t="shared" si="23"/>
        <v>3</v>
      </c>
      <c r="F17" s="87">
        <f t="shared" si="25"/>
        <v>1</v>
      </c>
      <c r="G17" s="87">
        <f t="shared" si="3"/>
        <v>7</v>
      </c>
      <c r="H17" s="87">
        <f t="shared" si="4"/>
        <v>7</v>
      </c>
      <c r="I17" s="87">
        <f t="shared" si="28"/>
        <v>1</v>
      </c>
      <c r="J17" s="87">
        <f t="shared" si="26"/>
        <v>1</v>
      </c>
      <c r="K17" s="87">
        <v>1</v>
      </c>
      <c r="L17" s="87">
        <v>1</v>
      </c>
      <c r="M17" s="87">
        <v>1</v>
      </c>
      <c r="N17" s="87">
        <f t="shared" si="5"/>
        <v>9</v>
      </c>
      <c r="O17" s="87">
        <f t="shared" si="29"/>
        <v>1</v>
      </c>
      <c r="P17" s="87">
        <f t="shared" si="33"/>
        <v>1</v>
      </c>
      <c r="Q17" s="87">
        <f t="shared" si="30"/>
        <v>1</v>
      </c>
      <c r="R17" s="65">
        <f t="shared" si="6"/>
        <v>6.6246056782334389E-2</v>
      </c>
      <c r="S17" s="65">
        <f t="shared" si="7"/>
        <v>0.11737089201877936</v>
      </c>
      <c r="T17" s="65">
        <f t="shared" si="8"/>
        <v>8.2095387021110244E-2</v>
      </c>
      <c r="U17" s="65">
        <f t="shared" si="9"/>
        <v>6.6246056782334389E-2</v>
      </c>
      <c r="V17" s="65">
        <f t="shared" si="10"/>
        <v>8.2352941176470587E-2</v>
      </c>
      <c r="W17" s="65">
        <f t="shared" si="11"/>
        <v>8.2352941176470587E-2</v>
      </c>
      <c r="X17" s="65">
        <f t="shared" si="12"/>
        <v>9.1225021720243271E-2</v>
      </c>
      <c r="Y17" s="65">
        <f t="shared" si="13"/>
        <v>5.6300268096514755E-2</v>
      </c>
      <c r="Z17" s="65">
        <f t="shared" si="14"/>
        <v>0.11367737278960666</v>
      </c>
      <c r="AA17" s="65">
        <f t="shared" si="15"/>
        <v>0.13513513513513517</v>
      </c>
      <c r="AB17" s="65">
        <f t="shared" si="16"/>
        <v>9.871513632090255E-2</v>
      </c>
      <c r="AC17" s="65">
        <f t="shared" si="17"/>
        <v>9.6774193548387094E-2</v>
      </c>
      <c r="AD17" s="65">
        <f t="shared" si="18"/>
        <v>7.636363636363637E-2</v>
      </c>
      <c r="AE17" s="65">
        <f t="shared" si="19"/>
        <v>9.1489979668893398E-2</v>
      </c>
      <c r="AF17" s="65">
        <f t="shared" si="20"/>
        <v>7.636363636363637E-2</v>
      </c>
      <c r="AG17" s="39">
        <f t="shared" si="21"/>
        <v>8.8847243664297026E-2</v>
      </c>
      <c r="AH17" s="1"/>
      <c r="AI17" s="96">
        <f t="shared" si="22"/>
        <v>1.4015928930774573</v>
      </c>
      <c r="AJ17" s="97">
        <f t="shared" si="24"/>
        <v>15.77531091874134</v>
      </c>
    </row>
    <row r="18" spans="1:36" ht="15" thickBot="1" x14ac:dyDescent="0.4">
      <c r="A18" s="1"/>
      <c r="B18" s="48" t="s">
        <v>21</v>
      </c>
      <c r="C18" s="87">
        <f t="shared" si="27"/>
        <v>1</v>
      </c>
      <c r="D18" s="87">
        <f t="shared" si="2"/>
        <v>3</v>
      </c>
      <c r="E18" s="87">
        <f t="shared" si="23"/>
        <v>3</v>
      </c>
      <c r="F18" s="87">
        <f t="shared" si="25"/>
        <v>1</v>
      </c>
      <c r="G18" s="87">
        <f t="shared" si="3"/>
        <v>7</v>
      </c>
      <c r="H18" s="87">
        <f t="shared" si="4"/>
        <v>7</v>
      </c>
      <c r="I18" s="87">
        <v>1</v>
      </c>
      <c r="J18" s="87">
        <f t="shared" si="26"/>
        <v>1</v>
      </c>
      <c r="K18" s="87">
        <v>1</v>
      </c>
      <c r="L18" s="87">
        <v>0.33333333333333331</v>
      </c>
      <c r="M18" s="87">
        <v>1</v>
      </c>
      <c r="N18" s="87">
        <f t="shared" si="5"/>
        <v>7</v>
      </c>
      <c r="O18" s="87">
        <v>1</v>
      </c>
      <c r="P18" s="87">
        <v>1</v>
      </c>
      <c r="Q18" s="87">
        <f t="shared" si="30"/>
        <v>1</v>
      </c>
      <c r="R18" s="65">
        <f t="shared" si="6"/>
        <v>6.6246056782334389E-2</v>
      </c>
      <c r="S18" s="65">
        <f t="shared" si="7"/>
        <v>7.0422535211267609E-2</v>
      </c>
      <c r="T18" s="65">
        <f t="shared" si="8"/>
        <v>8.2095387021110244E-2</v>
      </c>
      <c r="U18" s="65">
        <f t="shared" si="9"/>
        <v>6.6246056782334389E-2</v>
      </c>
      <c r="V18" s="65">
        <f t="shared" si="10"/>
        <v>8.2352941176470587E-2</v>
      </c>
      <c r="W18" s="65">
        <f t="shared" si="11"/>
        <v>8.2352941176470587E-2</v>
      </c>
      <c r="X18" s="65">
        <f t="shared" si="12"/>
        <v>9.1225021720243271E-2</v>
      </c>
      <c r="Y18" s="65">
        <f t="shared" si="13"/>
        <v>5.6300268096514755E-2</v>
      </c>
      <c r="Z18" s="65">
        <f t="shared" si="14"/>
        <v>0.11367737278960666</v>
      </c>
      <c r="AA18" s="65">
        <f t="shared" si="15"/>
        <v>4.504504504504505E-2</v>
      </c>
      <c r="AB18" s="65">
        <f t="shared" si="16"/>
        <v>9.871513632090255E-2</v>
      </c>
      <c r="AC18" s="65">
        <f t="shared" si="17"/>
        <v>7.5268817204301078E-2</v>
      </c>
      <c r="AD18" s="65">
        <f t="shared" si="18"/>
        <v>7.636363636363637E-2</v>
      </c>
      <c r="AE18" s="65">
        <f t="shared" si="19"/>
        <v>9.1489979668893398E-2</v>
      </c>
      <c r="AF18" s="65">
        <f t="shared" si="20"/>
        <v>7.636363636363637E-2</v>
      </c>
      <c r="AG18" s="34">
        <f t="shared" si="21"/>
        <v>7.8277655448184505E-2</v>
      </c>
      <c r="AH18" s="1"/>
      <c r="AI18" s="96">
        <f t="shared" si="22"/>
        <v>1.2280634868712361</v>
      </c>
      <c r="AJ18" s="97">
        <f t="shared" si="24"/>
        <v>15.688557351901609</v>
      </c>
    </row>
    <row r="19" spans="1:36" ht="14.5" thickBot="1" x14ac:dyDescent="0.35">
      <c r="A19" s="1"/>
      <c r="B19" s="23" t="s">
        <v>7</v>
      </c>
      <c r="C19" s="62">
        <f>SUM(C4:C18)</f>
        <v>15.095238095238095</v>
      </c>
      <c r="D19" s="62">
        <f t="shared" ref="D19:Q19" si="35">SUM(D4:D18)</f>
        <v>42.599999999999994</v>
      </c>
      <c r="E19" s="62">
        <f t="shared" si="35"/>
        <v>36.542857142857144</v>
      </c>
      <c r="F19" s="62">
        <f t="shared" si="35"/>
        <v>15.095238095238095</v>
      </c>
      <c r="G19" s="62">
        <f t="shared" si="35"/>
        <v>85</v>
      </c>
      <c r="H19" s="62">
        <f t="shared" si="35"/>
        <v>85</v>
      </c>
      <c r="I19" s="62">
        <f t="shared" si="35"/>
        <v>10.961904761904762</v>
      </c>
      <c r="J19" s="62">
        <f t="shared" si="35"/>
        <v>17.761904761904759</v>
      </c>
      <c r="K19" s="62">
        <f t="shared" si="35"/>
        <v>8.7968253968253958</v>
      </c>
      <c r="L19" s="62">
        <f t="shared" si="35"/>
        <v>7.3999999999999986</v>
      </c>
      <c r="M19" s="62">
        <f t="shared" si="35"/>
        <v>10.13015873015873</v>
      </c>
      <c r="N19" s="62">
        <f t="shared" si="35"/>
        <v>93</v>
      </c>
      <c r="O19" s="62">
        <f t="shared" si="35"/>
        <v>13.095238095238095</v>
      </c>
      <c r="P19" s="62">
        <f t="shared" si="35"/>
        <v>10.93015873015873</v>
      </c>
      <c r="Q19" s="62">
        <f t="shared" si="35"/>
        <v>13.095238095238095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6" ht="14.5" thickBot="1" x14ac:dyDescent="0.35">
      <c r="B20" s="117" t="s">
        <v>9</v>
      </c>
      <c r="C20" s="118">
        <f>AG4</f>
        <v>7.3225327768646417E-2</v>
      </c>
      <c r="D20" s="118">
        <f>AG5</f>
        <v>2.9475881401176358E-2</v>
      </c>
      <c r="E20" s="118">
        <f>AG6</f>
        <v>3.5035940640752862E-2</v>
      </c>
      <c r="F20" s="118">
        <f>AG7</f>
        <v>7.3225327768646417E-2</v>
      </c>
      <c r="G20" s="118">
        <f>AG8</f>
        <v>1.0979828570719609E-2</v>
      </c>
      <c r="H20" s="118">
        <f>AG9</f>
        <v>1.0979828570719609E-2</v>
      </c>
      <c r="I20" s="118">
        <f>AG10</f>
        <v>8.741355190802462E-2</v>
      </c>
      <c r="J20" s="118">
        <f>AG11</f>
        <v>6.5189304509001414E-2</v>
      </c>
      <c r="K20" s="118">
        <f>AG12</f>
        <v>0.11766824508672638</v>
      </c>
      <c r="L20" s="118">
        <f>AG13</f>
        <v>0.1411691363523235</v>
      </c>
      <c r="M20" s="118">
        <f>AG14</f>
        <v>0.10000262994477054</v>
      </c>
      <c r="N20" s="118">
        <f>AG15</f>
        <v>1.0232442917826342E-2</v>
      </c>
      <c r="O20" s="118">
        <f>AG16</f>
        <v>7.8277655448184505E-2</v>
      </c>
      <c r="P20" s="118">
        <f>AG17</f>
        <v>8.8847243664297026E-2</v>
      </c>
      <c r="Q20" s="119">
        <f>AG18</f>
        <v>7.8277655448184505E-2</v>
      </c>
    </row>
    <row r="22" spans="1:36" ht="14.5" thickBot="1" x14ac:dyDescent="0.35"/>
    <row r="23" spans="1:36" ht="42.5" thickBot="1" x14ac:dyDescent="0.35">
      <c r="A23" s="35" t="s">
        <v>59</v>
      </c>
      <c r="B23" s="122" t="s">
        <v>53</v>
      </c>
      <c r="C23" s="122" t="s">
        <v>54</v>
      </c>
      <c r="D23" s="122" t="s">
        <v>55</v>
      </c>
      <c r="E23" s="122" t="s">
        <v>56</v>
      </c>
      <c r="F23" s="122" t="s">
        <v>57</v>
      </c>
      <c r="G23" s="122" t="s">
        <v>7</v>
      </c>
      <c r="H23" s="131" t="s">
        <v>58</v>
      </c>
      <c r="I23" s="135" t="s">
        <v>22</v>
      </c>
      <c r="J23" s="135" t="s">
        <v>29</v>
      </c>
      <c r="K23" s="12" t="s">
        <v>18</v>
      </c>
      <c r="L23" s="136" t="s">
        <v>24</v>
      </c>
      <c r="M23" s="136" t="s">
        <v>31</v>
      </c>
      <c r="N23" s="135" t="s">
        <v>25</v>
      </c>
      <c r="O23" s="135" t="s">
        <v>27</v>
      </c>
      <c r="P23" s="136" t="s">
        <v>20</v>
      </c>
      <c r="Q23" s="135" t="s">
        <v>19</v>
      </c>
      <c r="R23" s="136" t="s">
        <v>32</v>
      </c>
      <c r="S23" s="136" t="s">
        <v>26</v>
      </c>
      <c r="T23" s="135" t="s">
        <v>30</v>
      </c>
      <c r="U23" s="136" t="s">
        <v>28</v>
      </c>
      <c r="V23" s="136" t="s">
        <v>23</v>
      </c>
      <c r="W23" s="135" t="s">
        <v>21</v>
      </c>
    </row>
    <row r="24" spans="1:36" x14ac:dyDescent="0.3">
      <c r="A24" s="35">
        <v>3</v>
      </c>
      <c r="B24" s="120" t="s">
        <v>22</v>
      </c>
      <c r="C24" s="124">
        <v>0</v>
      </c>
      <c r="D24" s="123">
        <v>11379</v>
      </c>
      <c r="E24" s="123">
        <v>6755</v>
      </c>
      <c r="F24" s="123">
        <v>642</v>
      </c>
      <c r="G24" s="128">
        <f>SUM(C24:F24)</f>
        <v>18776</v>
      </c>
      <c r="H24" s="132">
        <f>0.5*((C24/G24)*1+(D24/G24)*0.75+(E24/G24)*0.5+(F24/G24)*0.25)+0.5*(A24/5)</f>
        <v>0.62148087984661271</v>
      </c>
      <c r="I24" s="139">
        <v>0</v>
      </c>
      <c r="J24" s="140">
        <f>$I$39/J39</f>
        <v>1.3284992154818624</v>
      </c>
      <c r="K24" s="140">
        <f>$I$39/K39</f>
        <v>1.2575394253552548</v>
      </c>
      <c r="L24" s="140">
        <f>$I$39/L39</f>
        <v>1.00552210126716</v>
      </c>
      <c r="M24" s="140">
        <f t="shared" ref="M24:V24" si="36">$I$39/M39</f>
        <v>2.3490297022720705</v>
      </c>
      <c r="N24" s="140">
        <f t="shared" si="36"/>
        <v>2.2770511575647241</v>
      </c>
      <c r="O24" s="140">
        <f t="shared" si="36"/>
        <v>0.85847290139565025</v>
      </c>
      <c r="P24" s="140">
        <f t="shared" si="36"/>
        <v>1.0113119825992105</v>
      </c>
      <c r="Q24" s="140">
        <f t="shared" si="36"/>
        <v>0.79947116191035039</v>
      </c>
      <c r="R24" s="140">
        <f t="shared" si="36"/>
        <v>0.69118862466077158</v>
      </c>
      <c r="S24" s="140">
        <f t="shared" si="36"/>
        <v>0.80461432826743851</v>
      </c>
      <c r="T24" s="140">
        <f t="shared" si="36"/>
        <v>2.5732630692867207</v>
      </c>
      <c r="U24" s="140">
        <f t="shared" si="36"/>
        <v>0.94331344183519727</v>
      </c>
      <c r="V24" s="140">
        <f t="shared" si="36"/>
        <v>0.84560372347242818</v>
      </c>
      <c r="W24" s="141">
        <f>$I$39/W39</f>
        <v>0.96682998671453158</v>
      </c>
    </row>
    <row r="25" spans="1:36" x14ac:dyDescent="0.3">
      <c r="A25" s="35">
        <v>2</v>
      </c>
      <c r="B25" s="127" t="s">
        <v>29</v>
      </c>
      <c r="C25" s="125">
        <v>0</v>
      </c>
      <c r="D25" s="101">
        <v>2365</v>
      </c>
      <c r="E25" s="101">
        <v>6602</v>
      </c>
      <c r="F25" s="101">
        <v>952</v>
      </c>
      <c r="G25" s="129">
        <f t="shared" ref="G25:G38" si="37">SUM(C25:F25)</f>
        <v>9919</v>
      </c>
      <c r="H25" s="133">
        <f t="shared" ref="H25:H38" si="38">0.5*((C25/G25)*1+(D25/G25)*0.75+(E25/G25)*0.5+(F25/G25)*0.25)+0.5*(A25/5)</f>
        <v>0.46780673454985383</v>
      </c>
      <c r="I25" s="142">
        <f>H25/$H$24</f>
        <v>0.75272908583336129</v>
      </c>
      <c r="J25" s="100">
        <v>0</v>
      </c>
      <c r="K25" s="100">
        <f>$J$39/K39</f>
        <v>0.94658650204707129</v>
      </c>
      <c r="L25" s="100">
        <f>$J$39/L39</f>
        <v>0.75688573207206988</v>
      </c>
      <c r="M25" s="100">
        <f>$J$39/M39</f>
        <v>1.7681829803866684</v>
      </c>
      <c r="N25" s="100">
        <f t="shared" ref="N25:W25" si="39">$J$39/N39</f>
        <v>1.7140026362294918</v>
      </c>
      <c r="O25" s="100">
        <f t="shared" si="39"/>
        <v>0.64619752228026106</v>
      </c>
      <c r="P25" s="100">
        <f t="shared" si="39"/>
        <v>0.76124394415422791</v>
      </c>
      <c r="Q25" s="100">
        <f t="shared" si="39"/>
        <v>0.60178519685491327</v>
      </c>
      <c r="R25" s="100">
        <f t="shared" si="39"/>
        <v>0.52027778157932081</v>
      </c>
      <c r="S25" s="100">
        <f t="shared" si="39"/>
        <v>0.60565660776517305</v>
      </c>
      <c r="T25" s="100">
        <f t="shared" si="39"/>
        <v>1.9369699577529427</v>
      </c>
      <c r="U25" s="100">
        <f t="shared" si="39"/>
        <v>0.71005946472692971</v>
      </c>
      <c r="V25" s="100">
        <f t="shared" si="39"/>
        <v>0.63651051774668732</v>
      </c>
      <c r="W25" s="143">
        <f t="shared" si="39"/>
        <v>0.72776105205591024</v>
      </c>
    </row>
    <row r="26" spans="1:36" x14ac:dyDescent="0.3">
      <c r="A26" s="35">
        <v>2</v>
      </c>
      <c r="B26" s="127" t="s">
        <v>18</v>
      </c>
      <c r="C26" s="125">
        <v>0</v>
      </c>
      <c r="D26" s="101">
        <v>3075</v>
      </c>
      <c r="E26" s="101">
        <v>4698</v>
      </c>
      <c r="F26" s="101">
        <v>241</v>
      </c>
      <c r="G26" s="129">
        <f t="shared" si="37"/>
        <v>8014</v>
      </c>
      <c r="H26" s="133">
        <f t="shared" si="38"/>
        <v>0.49420389318692293</v>
      </c>
      <c r="I26" s="142">
        <f>H26/$H$24</f>
        <v>0.79520369686819181</v>
      </c>
      <c r="J26" s="100">
        <f>H26/$H$25</f>
        <v>1.0564274874376696</v>
      </c>
      <c r="K26" s="100">
        <v>0</v>
      </c>
      <c r="L26" s="100">
        <f>$K$39/L39</f>
        <v>0.79959489221031788</v>
      </c>
      <c r="M26" s="100">
        <f t="shared" ref="M26:W26" si="40">$K$39/M39</f>
        <v>1.8679571032999382</v>
      </c>
      <c r="N26" s="100">
        <f t="shared" si="40"/>
        <v>1.810719498453464</v>
      </c>
      <c r="O26" s="100">
        <f>$K$39/O39</f>
        <v>0.68266082485098367</v>
      </c>
      <c r="P26" s="100">
        <f t="shared" si="40"/>
        <v>0.80419902724999259</v>
      </c>
      <c r="Q26" s="100">
        <f t="shared" si="40"/>
        <v>0.63574242349061938</v>
      </c>
      <c r="R26" s="100">
        <f t="shared" si="40"/>
        <v>0.5496357495634866</v>
      </c>
      <c r="S26" s="100">
        <f t="shared" si="40"/>
        <v>0.63983228839138395</v>
      </c>
      <c r="T26" s="100">
        <f t="shared" si="40"/>
        <v>2.0462683057111901</v>
      </c>
      <c r="U26" s="100">
        <f t="shared" si="40"/>
        <v>0.75012633625280689</v>
      </c>
      <c r="V26" s="100">
        <f t="shared" si="40"/>
        <v>0.67242720699078307</v>
      </c>
      <c r="W26" s="143">
        <f t="shared" si="40"/>
        <v>0.76882677967842028</v>
      </c>
    </row>
    <row r="27" spans="1:36" x14ac:dyDescent="0.3">
      <c r="A27" s="35">
        <v>3</v>
      </c>
      <c r="B27" s="127" t="s">
        <v>24</v>
      </c>
      <c r="C27" s="125">
        <v>2531</v>
      </c>
      <c r="D27" s="101">
        <v>4168</v>
      </c>
      <c r="E27" s="101">
        <v>10251</v>
      </c>
      <c r="F27" s="101">
        <v>0</v>
      </c>
      <c r="G27" s="129">
        <f t="shared" si="37"/>
        <v>16950</v>
      </c>
      <c r="H27" s="133">
        <f t="shared" si="38"/>
        <v>0.61806784660766967</v>
      </c>
      <c r="I27" s="142">
        <f>H27/$H$24</f>
        <v>0.99450822487123758</v>
      </c>
      <c r="J27" s="100">
        <f>H27/$H$25</f>
        <v>1.3212033965316987</v>
      </c>
      <c r="K27" s="100">
        <f>H27/$H$26</f>
        <v>1.2506333016156503</v>
      </c>
      <c r="L27" s="100">
        <v>0</v>
      </c>
      <c r="M27" s="100">
        <f>$L$39/M39</f>
        <v>2.3361293593764083</v>
      </c>
      <c r="N27" s="100">
        <f t="shared" ref="N27:W27" si="41">$L$39/N39</f>
        <v>2.2645461046506905</v>
      </c>
      <c r="O27" s="100">
        <f t="shared" si="41"/>
        <v>0.85375836126704896</v>
      </c>
      <c r="P27" s="100">
        <f t="shared" si="41"/>
        <v>1.0057580846057528</v>
      </c>
      <c r="Q27" s="100">
        <f t="shared" si="41"/>
        <v>0.7950806460672083</v>
      </c>
      <c r="R27" s="100">
        <f t="shared" si="41"/>
        <v>0.68739277216257599</v>
      </c>
      <c r="S27" s="100">
        <f t="shared" si="41"/>
        <v>0.80019556731121344</v>
      </c>
      <c r="T27" s="100">
        <f t="shared" si="41"/>
        <v>2.5591312871630487</v>
      </c>
      <c r="U27" s="100">
        <f t="shared" si="41"/>
        <v>0.93813297653669947</v>
      </c>
      <c r="V27" s="100">
        <f t="shared" si="41"/>
        <v>0.84095985797507333</v>
      </c>
      <c r="W27" s="143">
        <f t="shared" si="41"/>
        <v>0.96152037383975097</v>
      </c>
    </row>
    <row r="28" spans="1:36" x14ac:dyDescent="0.3">
      <c r="A28" s="35">
        <v>1</v>
      </c>
      <c r="B28" s="127" t="s">
        <v>31</v>
      </c>
      <c r="C28" s="125">
        <v>0</v>
      </c>
      <c r="D28" s="101">
        <v>0</v>
      </c>
      <c r="E28" s="101">
        <v>1352</v>
      </c>
      <c r="F28" s="101">
        <v>2919</v>
      </c>
      <c r="G28" s="129">
        <f t="shared" si="37"/>
        <v>4271</v>
      </c>
      <c r="H28" s="133">
        <f t="shared" si="38"/>
        <v>0.26456918754390074</v>
      </c>
      <c r="I28" s="142">
        <f t="shared" ref="I28:I38" si="42">H28/$H$24</f>
        <v>0.42570768646848617</v>
      </c>
      <c r="J28" s="100">
        <f t="shared" ref="J28:J38" si="43">H28/$H$25</f>
        <v>0.56555232749798257</v>
      </c>
      <c r="K28" s="100">
        <f t="shared" ref="K28:K38" si="44">H28/$H$26</f>
        <v>0.53534419941089506</v>
      </c>
      <c r="L28" s="100">
        <f>H28/$H$27</f>
        <v>0.42805848742337355</v>
      </c>
      <c r="M28" s="100">
        <v>0</v>
      </c>
      <c r="N28" s="100">
        <f>$M$39/N39</f>
        <v>0.96935818025726705</v>
      </c>
      <c r="O28" s="100">
        <f t="shared" ref="O28:W28" si="45">$M$39/O39</f>
        <v>0.36545851274903113</v>
      </c>
      <c r="P28" s="100">
        <f t="shared" si="45"/>
        <v>0.43052328441016785</v>
      </c>
      <c r="Q28" s="100">
        <f t="shared" si="45"/>
        <v>0.34034101873512779</v>
      </c>
      <c r="R28" s="100">
        <f t="shared" si="45"/>
        <v>0.2942443103176719</v>
      </c>
      <c r="S28" s="100">
        <f t="shared" si="45"/>
        <v>0.34253050418612635</v>
      </c>
      <c r="T28" s="100">
        <f t="shared" si="45"/>
        <v>1.0954578679008458</v>
      </c>
      <c r="U28" s="100">
        <f t="shared" si="45"/>
        <v>0.40157578293828677</v>
      </c>
      <c r="V28" s="100">
        <f t="shared" si="45"/>
        <v>0.35998000478858494</v>
      </c>
      <c r="W28" s="143">
        <f t="shared" si="45"/>
        <v>0.41158695685260049</v>
      </c>
    </row>
    <row r="29" spans="1:36" x14ac:dyDescent="0.3">
      <c r="A29" s="35">
        <v>1</v>
      </c>
      <c r="B29" s="127" t="s">
        <v>25</v>
      </c>
      <c r="C29" s="125">
        <v>0</v>
      </c>
      <c r="D29" s="101">
        <v>0</v>
      </c>
      <c r="E29" s="101">
        <v>1836</v>
      </c>
      <c r="F29" s="101">
        <v>2952</v>
      </c>
      <c r="G29" s="129">
        <f t="shared" si="37"/>
        <v>4788</v>
      </c>
      <c r="H29" s="133">
        <f t="shared" si="38"/>
        <v>0.27293233082706769</v>
      </c>
      <c r="I29" s="142">
        <f t="shared" si="42"/>
        <v>0.43916448546965747</v>
      </c>
      <c r="J29" s="100">
        <f t="shared" si="43"/>
        <v>0.58342967441393578</v>
      </c>
      <c r="K29" s="100">
        <f t="shared" si="44"/>
        <v>0.5522666546939492</v>
      </c>
      <c r="L29" s="100">
        <f t="shared" ref="L29:L38" si="46">H29/$H$27</f>
        <v>0.44158959623136113</v>
      </c>
      <c r="M29" s="100">
        <f>H29/$H$28</f>
        <v>1.0316104205512564</v>
      </c>
      <c r="N29" s="100">
        <v>0</v>
      </c>
      <c r="O29" s="100">
        <f>$N$39/O39</f>
        <v>0.37701081003106474</v>
      </c>
      <c r="P29" s="100">
        <f t="shared" ref="P29:W29" si="47">$N$39/P39</f>
        <v>0.44413230648748148</v>
      </c>
      <c r="Q29" s="100">
        <f t="shared" si="47"/>
        <v>0.35109934146818828</v>
      </c>
      <c r="R29" s="100">
        <f t="shared" si="47"/>
        <v>0.30354549671162795</v>
      </c>
      <c r="S29" s="100">
        <f t="shared" si="47"/>
        <v>0.35335803747508371</v>
      </c>
      <c r="T29" s="100">
        <f t="shared" si="47"/>
        <v>1.1300857518013743</v>
      </c>
      <c r="U29" s="100">
        <f t="shared" si="47"/>
        <v>0.4142697623201661</v>
      </c>
      <c r="V29" s="100">
        <f t="shared" si="47"/>
        <v>0.37135912412999544</v>
      </c>
      <c r="W29" s="143">
        <f t="shared" si="47"/>
        <v>0.42459739365212307</v>
      </c>
    </row>
    <row r="30" spans="1:36" x14ac:dyDescent="0.3">
      <c r="A30" s="35">
        <v>4</v>
      </c>
      <c r="B30" s="127" t="s">
        <v>27</v>
      </c>
      <c r="C30" s="125">
        <v>5674</v>
      </c>
      <c r="D30" s="101">
        <v>9896</v>
      </c>
      <c r="E30" s="101">
        <v>17044</v>
      </c>
      <c r="F30" s="101">
        <v>1227</v>
      </c>
      <c r="G30" s="129">
        <f t="shared" si="37"/>
        <v>33841</v>
      </c>
      <c r="H30" s="133">
        <f t="shared" si="38"/>
        <v>0.72393767914659735</v>
      </c>
      <c r="I30" s="142">
        <f t="shared" si="42"/>
        <v>1.1648591334382996</v>
      </c>
      <c r="J30" s="100">
        <f>H30/$H$25</f>
        <v>1.5475144449196634</v>
      </c>
      <c r="K30" s="100">
        <f t="shared" si="44"/>
        <v>1.4648562852838194</v>
      </c>
      <c r="L30" s="100">
        <f t="shared" si="46"/>
        <v>1.1712916035351222</v>
      </c>
      <c r="M30" s="100">
        <f t="shared" ref="M30:M38" si="48">H30/$H$28</f>
        <v>2.7362887034094712</v>
      </c>
      <c r="N30" s="100">
        <f>H30/$H$29</f>
        <v>2.6524438381955218</v>
      </c>
      <c r="O30" s="100">
        <v>0</v>
      </c>
      <c r="P30" s="100">
        <f>$O$39/P39</f>
        <v>1.1780359996862853</v>
      </c>
      <c r="Q30" s="100">
        <f t="shared" ref="Q30:W30" si="49">$O$39/Q39</f>
        <v>0.93127128487180144</v>
      </c>
      <c r="R30" s="100">
        <f t="shared" si="49"/>
        <v>0.80513738236475652</v>
      </c>
      <c r="S30" s="100">
        <f t="shared" si="49"/>
        <v>0.93726234917764806</v>
      </c>
      <c r="T30" s="100">
        <f t="shared" si="49"/>
        <v>2.9974889889981089</v>
      </c>
      <c r="U30" s="100">
        <f t="shared" si="49"/>
        <v>1.0988272784168478</v>
      </c>
      <c r="V30" s="100">
        <f t="shared" si="49"/>
        <v>0.98500922055629225</v>
      </c>
      <c r="W30" s="143">
        <f t="shared" si="49"/>
        <v>1.1262207405064522</v>
      </c>
    </row>
    <row r="31" spans="1:36" x14ac:dyDescent="0.3">
      <c r="A31" s="35">
        <v>3</v>
      </c>
      <c r="B31" s="127" t="s">
        <v>20</v>
      </c>
      <c r="C31" s="125">
        <v>540</v>
      </c>
      <c r="D31" s="101">
        <v>6660</v>
      </c>
      <c r="E31" s="101">
        <v>1264</v>
      </c>
      <c r="F31" s="101">
        <v>2223</v>
      </c>
      <c r="G31" s="129">
        <f t="shared" si="37"/>
        <v>10687</v>
      </c>
      <c r="H31" s="133">
        <f t="shared" si="38"/>
        <v>0.61452933470571725</v>
      </c>
      <c r="I31" s="142">
        <f t="shared" si="42"/>
        <v>0.98881454704992511</v>
      </c>
      <c r="J31" s="100">
        <f t="shared" si="43"/>
        <v>1.3136393500128787</v>
      </c>
      <c r="K31" s="100">
        <f t="shared" si="44"/>
        <v>1.2434732772800792</v>
      </c>
      <c r="L31" s="100">
        <f t="shared" si="46"/>
        <v>0.99427488111317563</v>
      </c>
      <c r="M31" s="100">
        <f t="shared" si="48"/>
        <v>2.3227547410589775</v>
      </c>
      <c r="N31" s="100">
        <f t="shared" ref="N31:N38" si="50">H31/$H$29</f>
        <v>2.2515813089768701</v>
      </c>
      <c r="O31" s="100">
        <f>H31/$H$30</f>
        <v>0.84887049314817487</v>
      </c>
      <c r="P31" s="100">
        <v>0</v>
      </c>
      <c r="Q31" s="100">
        <f>$P$39/Q39</f>
        <v>0.79052871484386045</v>
      </c>
      <c r="R31" s="100">
        <f t="shared" ref="R31:W31" si="51">$P$39/R39</f>
        <v>0.68345736682000147</v>
      </c>
      <c r="S31" s="100">
        <f t="shared" si="51"/>
        <v>0.79561435255564694</v>
      </c>
      <c r="T31" s="100">
        <f t="shared" si="51"/>
        <v>2.5444799562970486</v>
      </c>
      <c r="U31" s="100">
        <f t="shared" si="51"/>
        <v>0.93276205371437648</v>
      </c>
      <c r="V31" s="100">
        <f t="shared" si="51"/>
        <v>0.83614526280911916</v>
      </c>
      <c r="W31" s="143">
        <f t="shared" si="51"/>
        <v>0.95601555538741467</v>
      </c>
    </row>
    <row r="32" spans="1:36" x14ac:dyDescent="0.3">
      <c r="A32" s="35">
        <v>4</v>
      </c>
      <c r="B32" s="127" t="s">
        <v>19</v>
      </c>
      <c r="C32" s="125">
        <v>10219</v>
      </c>
      <c r="D32" s="101">
        <v>1767</v>
      </c>
      <c r="E32" s="101">
        <v>9133</v>
      </c>
      <c r="F32" s="101">
        <v>340</v>
      </c>
      <c r="G32" s="129">
        <f t="shared" si="37"/>
        <v>21459</v>
      </c>
      <c r="H32" s="133">
        <f t="shared" si="38"/>
        <v>0.7773649750687357</v>
      </c>
      <c r="I32" s="142">
        <f t="shared" si="42"/>
        <v>1.250826856106332</v>
      </c>
      <c r="J32" s="100">
        <f t="shared" si="43"/>
        <v>1.6617224970409066</v>
      </c>
      <c r="K32" s="100">
        <f t="shared" si="44"/>
        <v>1.5729640858468767</v>
      </c>
      <c r="L32" s="100">
        <f t="shared" si="46"/>
        <v>1.2577340486734345</v>
      </c>
      <c r="M32" s="100">
        <f t="shared" si="48"/>
        <v>2.9382294373933671</v>
      </c>
      <c r="N32" s="100">
        <f t="shared" si="50"/>
        <v>2.8481967406099682</v>
      </c>
      <c r="O32" s="100">
        <f t="shared" ref="O32:O38" si="52">H32/$H$30</f>
        <v>1.0738009603052023</v>
      </c>
      <c r="P32" s="100">
        <f>H32/$H$31</f>
        <v>1.2649761877372321</v>
      </c>
      <c r="Q32" s="100">
        <v>0</v>
      </c>
      <c r="R32" s="100">
        <f>$Q$39/R39</f>
        <v>0.86455729436089246</v>
      </c>
      <c r="S32" s="100">
        <f t="shared" ref="S32:W32" si="53">$Q$39/S39</f>
        <v>1.0064332106048683</v>
      </c>
      <c r="T32" s="100">
        <f t="shared" si="53"/>
        <v>3.2187065548904394</v>
      </c>
      <c r="U32" s="100">
        <f t="shared" si="53"/>
        <v>1.1799217867735632</v>
      </c>
      <c r="V32" s="100">
        <f t="shared" si="53"/>
        <v>1.0577038469428255</v>
      </c>
      <c r="W32" s="143">
        <f t="shared" si="53"/>
        <v>1.2093369126714644</v>
      </c>
    </row>
    <row r="33" spans="1:23" x14ac:dyDescent="0.3">
      <c r="A33" s="35">
        <v>5</v>
      </c>
      <c r="B33" s="127" t="s">
        <v>32</v>
      </c>
      <c r="C33" s="125">
        <v>22476</v>
      </c>
      <c r="D33" s="101">
        <v>4888</v>
      </c>
      <c r="E33" s="101">
        <v>9418</v>
      </c>
      <c r="F33" s="101">
        <v>2714</v>
      </c>
      <c r="G33" s="129">
        <f t="shared" si="37"/>
        <v>39496</v>
      </c>
      <c r="H33" s="133">
        <f t="shared" si="38"/>
        <v>0.89914801498885966</v>
      </c>
      <c r="I33" s="142">
        <f t="shared" si="42"/>
        <v>1.4467830695141866</v>
      </c>
      <c r="J33" s="100">
        <f t="shared" si="43"/>
        <v>1.9220501728220376</v>
      </c>
      <c r="K33" s="100">
        <f t="shared" si="44"/>
        <v>1.8193867498505816</v>
      </c>
      <c r="L33" s="100">
        <f t="shared" si="46"/>
        <v>1.4547723521356564</v>
      </c>
      <c r="M33" s="100">
        <f t="shared" si="48"/>
        <v>3.3985364030331815</v>
      </c>
      <c r="N33" s="100">
        <f t="shared" si="50"/>
        <v>3.2943990631823228</v>
      </c>
      <c r="O33" s="100">
        <f t="shared" si="52"/>
        <v>1.2420240593759484</v>
      </c>
      <c r="P33" s="100">
        <f t="shared" ref="P33:P38" si="54">H33/$H$31</f>
        <v>1.4631490544213632</v>
      </c>
      <c r="Q33" s="100">
        <f>H33/$H$32</f>
        <v>1.15666134161673</v>
      </c>
      <c r="R33" s="100">
        <v>0</v>
      </c>
      <c r="S33" s="100">
        <f>$R$39/S39</f>
        <v>1.16410238762586</v>
      </c>
      <c r="T33" s="100">
        <f t="shared" ref="T33:W33" si="55">$R$39/T39</f>
        <v>3.7229534420501387</v>
      </c>
      <c r="U33" s="100">
        <f t="shared" si="55"/>
        <v>1.3647699168923189</v>
      </c>
      <c r="V33" s="100">
        <f t="shared" si="55"/>
        <v>1.223405150638065</v>
      </c>
      <c r="W33" s="143">
        <f t="shared" si="55"/>
        <v>1.3987932558772103</v>
      </c>
    </row>
    <row r="34" spans="1:23" x14ac:dyDescent="0.3">
      <c r="A34" s="35">
        <v>4</v>
      </c>
      <c r="B34" s="127" t="s">
        <v>26</v>
      </c>
      <c r="C34" s="125">
        <v>11660</v>
      </c>
      <c r="D34" s="101">
        <v>9441</v>
      </c>
      <c r="E34" s="101">
        <v>12357</v>
      </c>
      <c r="F34" s="101">
        <v>0</v>
      </c>
      <c r="G34" s="129">
        <f t="shared" si="37"/>
        <v>33458</v>
      </c>
      <c r="H34" s="133">
        <f t="shared" si="38"/>
        <v>0.77239598900113582</v>
      </c>
      <c r="I34" s="142">
        <f t="shared" si="42"/>
        <v>1.2428314595804948</v>
      </c>
      <c r="J34" s="100">
        <f t="shared" si="43"/>
        <v>1.6511006190288655</v>
      </c>
      <c r="K34" s="100">
        <f t="shared" si="44"/>
        <v>1.5629095594942879</v>
      </c>
      <c r="L34" s="100">
        <f t="shared" si="46"/>
        <v>1.2496945007583105</v>
      </c>
      <c r="M34" s="100">
        <f t="shared" si="48"/>
        <v>2.9194480134727323</v>
      </c>
      <c r="N34" s="100">
        <f t="shared" si="50"/>
        <v>2.8299908136956216</v>
      </c>
      <c r="O34" s="100">
        <f t="shared" si="52"/>
        <v>1.0669371290518581</v>
      </c>
      <c r="P34" s="100">
        <f t="shared" si="54"/>
        <v>1.2568903474250208</v>
      </c>
      <c r="Q34" s="100">
        <f t="shared" ref="Q34:Q38" si="56">H34/$H$32</f>
        <v>0.99360791104955493</v>
      </c>
      <c r="R34" s="100">
        <f>H34/$H$33</f>
        <v>0.85903096723258154</v>
      </c>
      <c r="S34" s="100">
        <v>0</v>
      </c>
      <c r="T34" s="100">
        <f>$S$39/T39</f>
        <v>3.1981322962861993</v>
      </c>
      <c r="U34" s="100">
        <f t="shared" ref="U34:W34" si="57">$S$39/U39</f>
        <v>1.1723796217579385</v>
      </c>
      <c r="V34" s="100">
        <f t="shared" si="57"/>
        <v>1.050942909869939</v>
      </c>
      <c r="W34" s="143">
        <f t="shared" si="57"/>
        <v>1.2016067235546117</v>
      </c>
    </row>
    <row r="35" spans="1:23" x14ac:dyDescent="0.3">
      <c r="A35" s="35">
        <v>1</v>
      </c>
      <c r="B35" s="127" t="s">
        <v>30</v>
      </c>
      <c r="C35" s="125">
        <v>0</v>
      </c>
      <c r="D35" s="101">
        <v>384</v>
      </c>
      <c r="E35" s="101">
        <v>0</v>
      </c>
      <c r="F35" s="101">
        <v>5429</v>
      </c>
      <c r="G35" s="129">
        <f t="shared" si="37"/>
        <v>5813</v>
      </c>
      <c r="H35" s="133">
        <f t="shared" si="38"/>
        <v>0.24151470841217962</v>
      </c>
      <c r="I35" s="142">
        <f t="shared" si="42"/>
        <v>0.38861164718661612</v>
      </c>
      <c r="J35" s="100">
        <f t="shared" si="43"/>
        <v>0.51627026841453383</v>
      </c>
      <c r="K35" s="100">
        <f t="shared" si="44"/>
        <v>0.4886944674894162</v>
      </c>
      <c r="L35" s="100">
        <f t="shared" si="46"/>
        <v>0.39075760005597843</v>
      </c>
      <c r="M35" s="100">
        <f t="shared" si="48"/>
        <v>0.9128603018902357</v>
      </c>
      <c r="N35" s="100">
        <f t="shared" si="50"/>
        <v>0.88488860106941836</v>
      </c>
      <c r="O35" s="100">
        <f t="shared" si="52"/>
        <v>0.33361256827643709</v>
      </c>
      <c r="P35" s="100">
        <f t="shared" si="54"/>
        <v>0.39300761537744161</v>
      </c>
      <c r="Q35" s="100">
        <f t="shared" si="56"/>
        <v>0.31068380510817917</v>
      </c>
      <c r="R35" s="100">
        <f t="shared" ref="R35:R38" si="58">H35/$H$33</f>
        <v>0.26860394994607417</v>
      </c>
      <c r="S35" s="100">
        <f>H35/$H$34</f>
        <v>0.31268249945796195</v>
      </c>
      <c r="T35" s="100">
        <v>0</v>
      </c>
      <c r="U35" s="100">
        <f>$T$39/U39</f>
        <v>0.3665825904448522</v>
      </c>
      <c r="V35" s="100">
        <f t="shared" ref="V35:W35" si="59">$T$39/V39</f>
        <v>0.32861145584575613</v>
      </c>
      <c r="W35" s="143">
        <f t="shared" si="59"/>
        <v>0.37572139368654828</v>
      </c>
    </row>
    <row r="36" spans="1:23" x14ac:dyDescent="0.3">
      <c r="A36" s="35">
        <v>4</v>
      </c>
      <c r="B36" s="127" t="s">
        <v>28</v>
      </c>
      <c r="C36" s="125">
        <v>1536</v>
      </c>
      <c r="D36" s="101">
        <v>6341</v>
      </c>
      <c r="E36" s="101">
        <v>18382</v>
      </c>
      <c r="F36" s="101">
        <v>7060</v>
      </c>
      <c r="G36" s="129">
        <f t="shared" si="37"/>
        <v>33319</v>
      </c>
      <c r="H36" s="133">
        <f t="shared" si="38"/>
        <v>0.65882754584471326</v>
      </c>
      <c r="I36" s="142">
        <f t="shared" si="42"/>
        <v>1.0600930249170628</v>
      </c>
      <c r="J36" s="100">
        <f t="shared" si="43"/>
        <v>1.4083327519401123</v>
      </c>
      <c r="K36" s="100">
        <f t="shared" si="44"/>
        <v>1.3331087733773166</v>
      </c>
      <c r="L36" s="100">
        <f t="shared" si="46"/>
        <v>1.0659469659532645</v>
      </c>
      <c r="M36" s="100">
        <f t="shared" si="48"/>
        <v>2.4901900027016262</v>
      </c>
      <c r="N36" s="100">
        <f t="shared" si="50"/>
        <v>2.4138860495136876</v>
      </c>
      <c r="O36" s="100">
        <f t="shared" si="52"/>
        <v>0.91006113484984208</v>
      </c>
      <c r="P36" s="100">
        <f t="shared" si="54"/>
        <v>1.0720847787684689</v>
      </c>
      <c r="Q36" s="100">
        <f t="shared" si="56"/>
        <v>0.84751380236350216</v>
      </c>
      <c r="R36" s="100">
        <f t="shared" si="58"/>
        <v>0.73272423990490154</v>
      </c>
      <c r="S36" s="100">
        <f t="shared" ref="S36:S38" si="60">H36/$H$34</f>
        <v>0.85296603714463937</v>
      </c>
      <c r="T36" s="100">
        <f>H36/$H$35</f>
        <v>2.7278982310275248</v>
      </c>
      <c r="U36" s="100">
        <v>0</v>
      </c>
      <c r="V36" s="100">
        <f>$U$39/V39</f>
        <v>0.89641860909701776</v>
      </c>
      <c r="W36" s="143">
        <f>$U$39/W39</f>
        <v>1.0249297251967313</v>
      </c>
    </row>
    <row r="37" spans="1:23" x14ac:dyDescent="0.3">
      <c r="A37" s="35">
        <v>4</v>
      </c>
      <c r="B37" s="127" t="s">
        <v>23</v>
      </c>
      <c r="C37" s="125">
        <v>8666</v>
      </c>
      <c r="D37" s="101">
        <v>7353</v>
      </c>
      <c r="E37" s="101">
        <v>12759</v>
      </c>
      <c r="F37" s="101">
        <v>3052</v>
      </c>
      <c r="G37" s="129">
        <f t="shared" si="37"/>
        <v>31830</v>
      </c>
      <c r="H37" s="133">
        <f t="shared" si="38"/>
        <v>0.73495523091423187</v>
      </c>
      <c r="I37" s="142">
        <f t="shared" si="42"/>
        <v>1.1825870348507355</v>
      </c>
      <c r="J37" s="100">
        <f t="shared" si="43"/>
        <v>1.5710659480382239</v>
      </c>
      <c r="K37" s="100">
        <f t="shared" si="44"/>
        <v>1.4871498202387683</v>
      </c>
      <c r="L37" s="100">
        <f t="shared" si="46"/>
        <v>1.1891174002144116</v>
      </c>
      <c r="M37" s="100">
        <f t="shared" si="48"/>
        <v>2.7779320703862336</v>
      </c>
      <c r="N37" s="100">
        <f t="shared" si="50"/>
        <v>2.6928111766279015</v>
      </c>
      <c r="O37" s="100">
        <f t="shared" si="52"/>
        <v>1.0152189229611897</v>
      </c>
      <c r="P37" s="100">
        <f t="shared" si="54"/>
        <v>1.1959644388110189</v>
      </c>
      <c r="Q37" s="100">
        <f t="shared" si="56"/>
        <v>0.9454442308122335</v>
      </c>
      <c r="R37" s="100">
        <f t="shared" si="58"/>
        <v>0.81739070616013976</v>
      </c>
      <c r="S37" s="100">
        <f t="shared" si="60"/>
        <v>0.95152647266420631</v>
      </c>
      <c r="T37" s="100">
        <f t="shared" ref="T37:T38" si="61">H37/$H$35</f>
        <v>3.0431075429986856</v>
      </c>
      <c r="U37" s="100">
        <f>H37/$H$36</f>
        <v>1.1155502461147275</v>
      </c>
      <c r="V37" s="100">
        <v>0</v>
      </c>
      <c r="W37" s="143">
        <f>$V$39/W39</f>
        <v>1.1433606071935138</v>
      </c>
    </row>
    <row r="38" spans="1:23" ht="14.5" thickBot="1" x14ac:dyDescent="0.35">
      <c r="A38" s="35">
        <v>4</v>
      </c>
      <c r="B38" s="127" t="s">
        <v>21</v>
      </c>
      <c r="C38" s="125">
        <v>1327</v>
      </c>
      <c r="D38" s="101">
        <v>3283</v>
      </c>
      <c r="E38" s="101">
        <v>12122</v>
      </c>
      <c r="F38" s="101">
        <v>7322</v>
      </c>
      <c r="G38" s="129">
        <f t="shared" si="37"/>
        <v>24054</v>
      </c>
      <c r="H38" s="133">
        <f t="shared" si="38"/>
        <v>0.64280265236551104</v>
      </c>
      <c r="I38" s="164">
        <f t="shared" si="42"/>
        <v>1.0343080104478206</v>
      </c>
      <c r="J38" s="146">
        <f t="shared" si="43"/>
        <v>1.3740773804465356</v>
      </c>
      <c r="K38" s="146">
        <f t="shared" si="44"/>
        <v>1.3006831010988891</v>
      </c>
      <c r="L38" s="146">
        <f t="shared" si="46"/>
        <v>1.0400195640229482</v>
      </c>
      <c r="M38" s="146">
        <f t="shared" si="48"/>
        <v>2.4296202378398615</v>
      </c>
      <c r="N38" s="146">
        <f t="shared" si="50"/>
        <v>2.3551722524686767</v>
      </c>
      <c r="O38" s="146">
        <f t="shared" si="52"/>
        <v>0.88792539866590303</v>
      </c>
      <c r="P38" s="146">
        <f t="shared" si="54"/>
        <v>1.0460080846642303</v>
      </c>
      <c r="Q38" s="146">
        <f t="shared" si="56"/>
        <v>0.82689942688590201</v>
      </c>
      <c r="R38" s="146">
        <f t="shared" si="58"/>
        <v>0.71490193121704804</v>
      </c>
      <c r="S38" s="146">
        <f t="shared" si="60"/>
        <v>0.83221904504810396</v>
      </c>
      <c r="T38" s="146">
        <f t="shared" si="61"/>
        <v>2.6615466055528003</v>
      </c>
      <c r="U38" s="146">
        <f>H38/$H$36</f>
        <v>0.97567664925324893</v>
      </c>
      <c r="V38" s="146">
        <f>H38/$H$37</f>
        <v>0.87461470485203618</v>
      </c>
      <c r="W38" s="147">
        <v>0</v>
      </c>
    </row>
    <row r="39" spans="1:23" ht="14.5" thickBot="1" x14ac:dyDescent="0.35">
      <c r="B39" s="121" t="s">
        <v>7</v>
      </c>
      <c r="C39" s="126">
        <f>SUM(C24:C38)</f>
        <v>64629</v>
      </c>
      <c r="D39" s="108">
        <f t="shared" ref="D39:G39" si="62">SUM(D24:D38)</f>
        <v>71000</v>
      </c>
      <c r="E39" s="108">
        <f t="shared" si="62"/>
        <v>123973</v>
      </c>
      <c r="F39" s="108">
        <f t="shared" si="62"/>
        <v>37073</v>
      </c>
      <c r="G39" s="130">
        <f t="shared" si="62"/>
        <v>296675</v>
      </c>
      <c r="H39" s="134"/>
      <c r="I39" s="144">
        <f>H24</f>
        <v>0.62148087984661271</v>
      </c>
      <c r="J39" s="145">
        <f>H25</f>
        <v>0.46780673454985383</v>
      </c>
      <c r="K39" s="145">
        <f>H26</f>
        <v>0.49420389318692293</v>
      </c>
      <c r="L39" s="145">
        <f>H27</f>
        <v>0.61806784660766967</v>
      </c>
      <c r="M39" s="145">
        <f>H28</f>
        <v>0.26456918754390074</v>
      </c>
      <c r="N39" s="145">
        <f>H29</f>
        <v>0.27293233082706769</v>
      </c>
      <c r="O39" s="145">
        <f>H30</f>
        <v>0.72393767914659735</v>
      </c>
      <c r="P39" s="145">
        <f>H31</f>
        <v>0.61452933470571725</v>
      </c>
      <c r="Q39" s="145">
        <f>H32</f>
        <v>0.7773649750687357</v>
      </c>
      <c r="R39" s="145">
        <f>H33</f>
        <v>0.89914801498885966</v>
      </c>
      <c r="S39" s="145">
        <f>H34</f>
        <v>0.77239598900113582</v>
      </c>
      <c r="T39" s="145">
        <f>H35</f>
        <v>0.24151470841217962</v>
      </c>
      <c r="U39" s="145">
        <f>H36</f>
        <v>0.65882754584471326</v>
      </c>
      <c r="V39" s="145">
        <f>H37</f>
        <v>0.73495523091423187</v>
      </c>
      <c r="W39" s="138">
        <f>H38</f>
        <v>0.64280265236551104</v>
      </c>
    </row>
    <row r="42" spans="1:23" ht="29" x14ac:dyDescent="0.3">
      <c r="C42" s="66" t="s">
        <v>60</v>
      </c>
      <c r="D42" s="66" t="s">
        <v>61</v>
      </c>
      <c r="E42" s="66" t="s">
        <v>62</v>
      </c>
      <c r="F42" s="66" t="s">
        <v>63</v>
      </c>
    </row>
    <row r="43" spans="1:23" ht="14.5" x14ac:dyDescent="0.35">
      <c r="C43" s="151" t="s">
        <v>64</v>
      </c>
      <c r="D43" s="150">
        <v>1</v>
      </c>
      <c r="E43" s="153" t="s">
        <v>65</v>
      </c>
      <c r="F43" s="152">
        <v>1</v>
      </c>
    </row>
    <row r="44" spans="1:23" ht="14.5" x14ac:dyDescent="0.3">
      <c r="C44" s="151" t="s">
        <v>66</v>
      </c>
      <c r="D44" s="149">
        <v>3</v>
      </c>
      <c r="E44" s="153" t="s">
        <v>67</v>
      </c>
      <c r="F44" s="152">
        <v>0.33333333333333331</v>
      </c>
      <c r="H44" s="44" t="s">
        <v>76</v>
      </c>
    </row>
    <row r="45" spans="1:23" ht="14.5" x14ac:dyDescent="0.3">
      <c r="C45" s="151" t="s">
        <v>68</v>
      </c>
      <c r="D45" s="149">
        <v>5</v>
      </c>
      <c r="E45" s="153" t="s">
        <v>69</v>
      </c>
      <c r="F45" s="152">
        <v>0.2</v>
      </c>
    </row>
    <row r="46" spans="1:23" ht="14.5" x14ac:dyDescent="0.3">
      <c r="C46" s="151" t="s">
        <v>70</v>
      </c>
      <c r="D46" s="149">
        <v>7</v>
      </c>
      <c r="E46" s="153" t="s">
        <v>71</v>
      </c>
      <c r="F46" s="152">
        <v>0.14285714285714285</v>
      </c>
    </row>
    <row r="47" spans="1:23" ht="14.5" x14ac:dyDescent="0.3">
      <c r="C47" s="151" t="s">
        <v>72</v>
      </c>
      <c r="D47" s="149">
        <v>9</v>
      </c>
      <c r="E47" s="153" t="s">
        <v>73</v>
      </c>
      <c r="F47" s="152">
        <v>0.1111111111111111</v>
      </c>
    </row>
    <row r="48" spans="1:23" x14ac:dyDescent="0.3">
      <c r="C48" s="148"/>
      <c r="D48" s="148"/>
      <c r="F48" s="148"/>
    </row>
    <row r="49" spans="3:6" x14ac:dyDescent="0.3">
      <c r="C49" s="148"/>
      <c r="D49" s="148"/>
      <c r="F49" s="148"/>
    </row>
    <row r="50" spans="3:6" x14ac:dyDescent="0.3">
      <c r="C50" s="148"/>
      <c r="D50" s="148"/>
      <c r="F50" s="148"/>
    </row>
    <row r="51" spans="3:6" x14ac:dyDescent="0.3">
      <c r="C51" s="148"/>
      <c r="D51" s="148"/>
      <c r="F51" s="148"/>
    </row>
    <row r="52" spans="3:6" x14ac:dyDescent="0.3">
      <c r="F52" s="137"/>
    </row>
    <row r="53" spans="3:6" x14ac:dyDescent="0.3">
      <c r="F53" s="137"/>
    </row>
  </sheetData>
  <mergeCells count="2">
    <mergeCell ref="B2:AG2"/>
    <mergeCell ref="R3:AF3"/>
  </mergeCells>
  <conditionalFormatting sqref="AP4">
    <cfRule type="cellIs" dxfId="5" priority="1" operator="greaterThan">
      <formula>0.1</formula>
    </cfRule>
    <cfRule type="cellIs" dxfId="4" priority="2" operator="lessThan">
      <formula>0.1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BEE9-371A-4882-9950-D4494C816156}">
  <dimension ref="A1:AP22"/>
  <sheetViews>
    <sheetView zoomScale="65" zoomScaleNormal="85" workbookViewId="0">
      <selection activeCell="C4" sqref="C4:Q18"/>
    </sheetView>
  </sheetViews>
  <sheetFormatPr baseColWidth="10" defaultRowHeight="14" x14ac:dyDescent="0.3"/>
  <cols>
    <col min="1" max="1" width="10.90625" style="44"/>
    <col min="2" max="2" width="25.08984375" style="44" customWidth="1"/>
    <col min="3" max="11" width="10.6328125" style="44" customWidth="1"/>
    <col min="12" max="17" width="10.90625" style="44"/>
    <col min="18" max="32" width="7.81640625" style="44" customWidth="1"/>
    <col min="33" max="16384" width="10.90625" style="44"/>
  </cols>
  <sheetData>
    <row r="1" spans="1:42" ht="14.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42" ht="14.5" thickBot="1" x14ac:dyDescent="0.35">
      <c r="A2" s="1"/>
      <c r="B2" s="165" t="s">
        <v>15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7"/>
      <c r="AH2" s="1"/>
    </row>
    <row r="3" spans="1:42" s="47" customFormat="1" ht="42.5" thickBot="1" x14ac:dyDescent="0.35">
      <c r="A3" s="1"/>
      <c r="B3" s="12" t="s">
        <v>0</v>
      </c>
      <c r="C3" s="45" t="s">
        <v>22</v>
      </c>
      <c r="D3" s="45" t="s">
        <v>29</v>
      </c>
      <c r="E3" s="14" t="s">
        <v>18</v>
      </c>
      <c r="F3" s="46" t="s">
        <v>24</v>
      </c>
      <c r="G3" s="46" t="s">
        <v>31</v>
      </c>
      <c r="H3" s="45" t="s">
        <v>25</v>
      </c>
      <c r="I3" s="45" t="s">
        <v>27</v>
      </c>
      <c r="J3" s="46" t="s">
        <v>20</v>
      </c>
      <c r="K3" s="45" t="s">
        <v>19</v>
      </c>
      <c r="L3" s="46" t="s">
        <v>32</v>
      </c>
      <c r="M3" s="46" t="s">
        <v>26</v>
      </c>
      <c r="N3" s="45" t="s">
        <v>30</v>
      </c>
      <c r="O3" s="46" t="s">
        <v>28</v>
      </c>
      <c r="P3" s="46" t="s">
        <v>23</v>
      </c>
      <c r="Q3" s="45" t="s">
        <v>21</v>
      </c>
      <c r="R3" s="168" t="s">
        <v>8</v>
      </c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69"/>
      <c r="AG3" s="12" t="s">
        <v>12</v>
      </c>
      <c r="AH3" s="1"/>
      <c r="AI3" s="14" t="s">
        <v>43</v>
      </c>
      <c r="AJ3" s="12" t="s">
        <v>41</v>
      </c>
      <c r="AK3" s="12" t="s">
        <v>45</v>
      </c>
      <c r="AL3" s="12" t="s">
        <v>44</v>
      </c>
      <c r="AM3" s="12" t="s">
        <v>46</v>
      </c>
      <c r="AN3" s="1"/>
      <c r="AO3" s="12" t="s">
        <v>42</v>
      </c>
      <c r="AP3" s="39">
        <f>(AK4-AL4)/(AL4-1)</f>
        <v>4.8945745664411282E-2</v>
      </c>
    </row>
    <row r="4" spans="1:42" ht="14.5" thickBot="1" x14ac:dyDescent="0.35">
      <c r="A4" s="1"/>
      <c r="B4" s="48" t="s">
        <v>22</v>
      </c>
      <c r="C4" s="19">
        <v>1</v>
      </c>
      <c r="D4" s="20">
        <v>1</v>
      </c>
      <c r="E4" s="20">
        <v>3</v>
      </c>
      <c r="F4" s="20">
        <v>3</v>
      </c>
      <c r="G4" s="20">
        <v>5</v>
      </c>
      <c r="H4" s="20">
        <v>3</v>
      </c>
      <c r="I4" s="20">
        <v>0.33</v>
      </c>
      <c r="J4" s="20">
        <v>3</v>
      </c>
      <c r="K4" s="20">
        <v>1</v>
      </c>
      <c r="L4" s="20">
        <v>0.33</v>
      </c>
      <c r="M4" s="20">
        <v>0.33</v>
      </c>
      <c r="N4" s="20">
        <v>5</v>
      </c>
      <c r="O4" s="20">
        <v>1</v>
      </c>
      <c r="P4" s="20">
        <v>0.33</v>
      </c>
      <c r="Q4" s="15">
        <v>1</v>
      </c>
      <c r="R4" s="36">
        <f>C4/C$19</f>
        <v>5.3418803418803423E-2</v>
      </c>
      <c r="S4" s="36">
        <f t="shared" ref="S4:AF4" si="0">D4/D$19</f>
        <v>5.3418803418803423E-2</v>
      </c>
      <c r="T4" s="36">
        <f t="shared" si="0"/>
        <v>7.6142131979695438E-2</v>
      </c>
      <c r="U4" s="36">
        <f t="shared" si="0"/>
        <v>7.6142131979695438E-2</v>
      </c>
      <c r="V4" s="36">
        <f t="shared" si="0"/>
        <v>6.6666666666666666E-2</v>
      </c>
      <c r="W4" s="36">
        <f t="shared" si="0"/>
        <v>7.6142131979695438E-2</v>
      </c>
      <c r="X4" s="36">
        <f t="shared" si="0"/>
        <v>4.9009903416331851E-2</v>
      </c>
      <c r="Y4" s="36">
        <f t="shared" si="0"/>
        <v>7.6142131979695438E-2</v>
      </c>
      <c r="Z4" s="36">
        <f t="shared" si="0"/>
        <v>5.3418803418803423E-2</v>
      </c>
      <c r="AA4" s="36">
        <f t="shared" si="0"/>
        <v>4.9009903416331851E-2</v>
      </c>
      <c r="AB4" s="36">
        <f t="shared" si="0"/>
        <v>4.9009903416331851E-2</v>
      </c>
      <c r="AC4" s="36">
        <f t="shared" si="0"/>
        <v>6.6666666666666666E-2</v>
      </c>
      <c r="AD4" s="36">
        <f t="shared" si="0"/>
        <v>5.3418803418803423E-2</v>
      </c>
      <c r="AE4" s="36">
        <f t="shared" si="0"/>
        <v>4.9009903416331851E-2</v>
      </c>
      <c r="AF4" s="71">
        <f t="shared" si="0"/>
        <v>5.3418803418803423E-2</v>
      </c>
      <c r="AG4" s="72">
        <f>AVERAGE(R4:AF4)</f>
        <v>6.006903280076397E-2</v>
      </c>
      <c r="AH4" s="1"/>
      <c r="AI4" s="96">
        <f>SUMPRODUCT(C4:Q4,$C$20:$Q$20)</f>
        <v>0.96018344291730584</v>
      </c>
      <c r="AJ4" s="97">
        <f>AI4/AG4</f>
        <v>15.9846662772485</v>
      </c>
      <c r="AK4" s="98">
        <f>AVERAGE(AJ4:AJ18)</f>
        <v>15.685240439301758</v>
      </c>
      <c r="AL4" s="98">
        <v>15</v>
      </c>
      <c r="AM4" s="97">
        <f>(1.86668*(15-2))/15</f>
        <v>1.6177893333333333</v>
      </c>
      <c r="AN4" s="35"/>
      <c r="AO4" s="92" t="s">
        <v>10</v>
      </c>
      <c r="AP4" s="34">
        <f>AP3/AM4</f>
        <v>3.0254709099584835E-2</v>
      </c>
    </row>
    <row r="5" spans="1:42" ht="14.5" thickBot="1" x14ac:dyDescent="0.35">
      <c r="A5" s="1"/>
      <c r="B5" s="48" t="s">
        <v>29</v>
      </c>
      <c r="C5" s="21">
        <v>1</v>
      </c>
      <c r="D5" s="3">
        <v>1</v>
      </c>
      <c r="E5" s="3">
        <v>3</v>
      </c>
      <c r="F5" s="3">
        <v>3</v>
      </c>
      <c r="G5" s="3">
        <v>5</v>
      </c>
      <c r="H5" s="3">
        <v>3</v>
      </c>
      <c r="I5" s="3">
        <v>0.33</v>
      </c>
      <c r="J5" s="3">
        <v>3</v>
      </c>
      <c r="K5" s="3">
        <v>1</v>
      </c>
      <c r="L5" s="3">
        <v>0.33</v>
      </c>
      <c r="M5" s="3">
        <v>0.33</v>
      </c>
      <c r="N5" s="3">
        <v>5</v>
      </c>
      <c r="O5" s="3">
        <v>1</v>
      </c>
      <c r="P5" s="3">
        <v>0.33</v>
      </c>
      <c r="Q5" s="16">
        <v>1</v>
      </c>
      <c r="R5" s="36">
        <f t="shared" ref="R5:R18" si="1">C5/C$19</f>
        <v>5.3418803418803423E-2</v>
      </c>
      <c r="S5" s="36">
        <f t="shared" ref="S5:S18" si="2">D5/D$19</f>
        <v>5.3418803418803423E-2</v>
      </c>
      <c r="T5" s="36">
        <f t="shared" ref="T5:T18" si="3">E5/E$19</f>
        <v>7.6142131979695438E-2</v>
      </c>
      <c r="U5" s="36">
        <f t="shared" ref="U5:U18" si="4">F5/F$19</f>
        <v>7.6142131979695438E-2</v>
      </c>
      <c r="V5" s="36">
        <f t="shared" ref="V5:V18" si="5">G5/G$19</f>
        <v>6.6666666666666666E-2</v>
      </c>
      <c r="W5" s="36">
        <f t="shared" ref="W5:W18" si="6">H5/H$19</f>
        <v>7.6142131979695438E-2</v>
      </c>
      <c r="X5" s="36">
        <f t="shared" ref="X5:X18" si="7">I5/I$19</f>
        <v>4.9009903416331851E-2</v>
      </c>
      <c r="Y5" s="36">
        <f t="shared" ref="Y5:Y18" si="8">J5/J$19</f>
        <v>7.6142131979695438E-2</v>
      </c>
      <c r="Z5" s="36">
        <f t="shared" ref="Z5:Z18" si="9">K5/K$19</f>
        <v>5.3418803418803423E-2</v>
      </c>
      <c r="AA5" s="36">
        <f t="shared" ref="AA5:AA18" si="10">L5/L$19</f>
        <v>4.9009903416331851E-2</v>
      </c>
      <c r="AB5" s="36">
        <f t="shared" ref="AB5:AB18" si="11">M5/M$19</f>
        <v>4.9009903416331851E-2</v>
      </c>
      <c r="AC5" s="36">
        <f t="shared" ref="AC5:AC18" si="12">N5/N$19</f>
        <v>6.6666666666666666E-2</v>
      </c>
      <c r="AD5" s="36">
        <f t="shared" ref="AD5:AD18" si="13">O5/O$19</f>
        <v>5.3418803418803423E-2</v>
      </c>
      <c r="AE5" s="36">
        <f t="shared" ref="AE5:AE18" si="14">P5/P$19</f>
        <v>4.9009903416331851E-2</v>
      </c>
      <c r="AF5" s="71">
        <f t="shared" ref="AF5:AF18" si="15">Q5/Q$19</f>
        <v>5.3418803418803423E-2</v>
      </c>
      <c r="AG5" s="72">
        <f t="shared" ref="AG5:AG18" si="16">AVERAGE(R5:AF5)</f>
        <v>6.006903280076397E-2</v>
      </c>
      <c r="AH5" s="1"/>
      <c r="AI5" s="96">
        <f t="shared" ref="AI5:AI18" si="17">SUMPRODUCT(C5:Q5,$C$20:$Q$20)</f>
        <v>0.96018344291730584</v>
      </c>
      <c r="AJ5" s="97">
        <f>AI5/AG5</f>
        <v>15.9846662772485</v>
      </c>
      <c r="AK5" s="35"/>
      <c r="AL5" s="35"/>
      <c r="AM5" s="35"/>
      <c r="AN5" s="35"/>
      <c r="AO5" s="35"/>
      <c r="AP5" s="35"/>
    </row>
    <row r="6" spans="1:42" ht="14.5" thickBot="1" x14ac:dyDescent="0.35">
      <c r="A6" s="1"/>
      <c r="B6" s="49" t="s">
        <v>18</v>
      </c>
      <c r="C6" s="21">
        <v>0.33</v>
      </c>
      <c r="D6" s="3">
        <v>0.33</v>
      </c>
      <c r="E6" s="3">
        <v>1</v>
      </c>
      <c r="F6" s="3">
        <v>1</v>
      </c>
      <c r="G6" s="3">
        <v>5</v>
      </c>
      <c r="H6" s="3">
        <v>1</v>
      </c>
      <c r="I6" s="3">
        <v>0.2</v>
      </c>
      <c r="J6" s="3">
        <v>1</v>
      </c>
      <c r="K6" s="3">
        <v>0.33</v>
      </c>
      <c r="L6" s="3">
        <v>0.2</v>
      </c>
      <c r="M6" s="3">
        <v>0.2</v>
      </c>
      <c r="N6" s="3">
        <v>5</v>
      </c>
      <c r="O6" s="3">
        <v>0.33</v>
      </c>
      <c r="P6" s="3">
        <v>0.2</v>
      </c>
      <c r="Q6" s="16">
        <v>0.33</v>
      </c>
      <c r="R6" s="36">
        <f t="shared" si="1"/>
        <v>1.7628205128205131E-2</v>
      </c>
      <c r="S6" s="36">
        <f t="shared" si="2"/>
        <v>1.7628205128205131E-2</v>
      </c>
      <c r="T6" s="36">
        <f t="shared" si="3"/>
        <v>2.5380710659898477E-2</v>
      </c>
      <c r="U6" s="36">
        <f t="shared" si="4"/>
        <v>2.5380710659898477E-2</v>
      </c>
      <c r="V6" s="36">
        <f t="shared" si="5"/>
        <v>6.6666666666666666E-2</v>
      </c>
      <c r="W6" s="36">
        <f t="shared" si="6"/>
        <v>2.5380710659898477E-2</v>
      </c>
      <c r="X6" s="36">
        <f t="shared" si="7"/>
        <v>2.970297176747385E-2</v>
      </c>
      <c r="Y6" s="36">
        <f t="shared" si="8"/>
        <v>2.5380710659898477E-2</v>
      </c>
      <c r="Z6" s="36">
        <f t="shared" si="9"/>
        <v>1.7628205128205131E-2</v>
      </c>
      <c r="AA6" s="36">
        <f t="shared" si="10"/>
        <v>2.970297176747385E-2</v>
      </c>
      <c r="AB6" s="36">
        <f t="shared" si="11"/>
        <v>2.970297176747385E-2</v>
      </c>
      <c r="AC6" s="36">
        <f t="shared" si="12"/>
        <v>6.6666666666666666E-2</v>
      </c>
      <c r="AD6" s="36">
        <f t="shared" si="13"/>
        <v>1.7628205128205131E-2</v>
      </c>
      <c r="AE6" s="36">
        <f t="shared" si="14"/>
        <v>2.970297176747385E-2</v>
      </c>
      <c r="AF6" s="71">
        <f t="shared" si="15"/>
        <v>1.7628205128205131E-2</v>
      </c>
      <c r="AG6" s="72">
        <f t="shared" si="16"/>
        <v>2.945393924558988E-2</v>
      </c>
      <c r="AH6" s="1"/>
      <c r="AI6" s="96">
        <f t="shared" si="17"/>
        <v>0.45079198702711565</v>
      </c>
      <c r="AJ6" s="97">
        <f t="shared" ref="AJ6:AJ18" si="18">AI6/AG6</f>
        <v>15.30498122062272</v>
      </c>
      <c r="AK6" s="90"/>
      <c r="AL6" s="90"/>
      <c r="AM6" s="90"/>
      <c r="AN6" s="35"/>
      <c r="AO6" s="1"/>
      <c r="AP6" s="35"/>
    </row>
    <row r="7" spans="1:42" ht="14.5" thickBot="1" x14ac:dyDescent="0.35">
      <c r="A7" s="1"/>
      <c r="B7" s="50" t="s">
        <v>24</v>
      </c>
      <c r="C7" s="21">
        <v>0.33</v>
      </c>
      <c r="D7" s="3">
        <v>0.33</v>
      </c>
      <c r="E7" s="3">
        <v>1</v>
      </c>
      <c r="F7" s="3">
        <v>1</v>
      </c>
      <c r="G7" s="3">
        <v>5</v>
      </c>
      <c r="H7" s="3">
        <v>1</v>
      </c>
      <c r="I7" s="3">
        <v>0.2</v>
      </c>
      <c r="J7" s="3">
        <v>1</v>
      </c>
      <c r="K7" s="3">
        <v>0.33</v>
      </c>
      <c r="L7" s="3">
        <v>0.2</v>
      </c>
      <c r="M7" s="3">
        <v>0.2</v>
      </c>
      <c r="N7" s="3">
        <v>5</v>
      </c>
      <c r="O7" s="3">
        <v>0.33</v>
      </c>
      <c r="P7" s="3">
        <v>0.2</v>
      </c>
      <c r="Q7" s="16">
        <v>0.33</v>
      </c>
      <c r="R7" s="36">
        <f t="shared" si="1"/>
        <v>1.7628205128205131E-2</v>
      </c>
      <c r="S7" s="36">
        <f t="shared" si="2"/>
        <v>1.7628205128205131E-2</v>
      </c>
      <c r="T7" s="36">
        <f t="shared" si="3"/>
        <v>2.5380710659898477E-2</v>
      </c>
      <c r="U7" s="36">
        <f t="shared" si="4"/>
        <v>2.5380710659898477E-2</v>
      </c>
      <c r="V7" s="36">
        <f t="shared" si="5"/>
        <v>6.6666666666666666E-2</v>
      </c>
      <c r="W7" s="36">
        <f t="shared" si="6"/>
        <v>2.5380710659898477E-2</v>
      </c>
      <c r="X7" s="36">
        <f t="shared" si="7"/>
        <v>2.970297176747385E-2</v>
      </c>
      <c r="Y7" s="36">
        <f t="shared" si="8"/>
        <v>2.5380710659898477E-2</v>
      </c>
      <c r="Z7" s="36">
        <f t="shared" si="9"/>
        <v>1.7628205128205131E-2</v>
      </c>
      <c r="AA7" s="36">
        <f t="shared" si="10"/>
        <v>2.970297176747385E-2</v>
      </c>
      <c r="AB7" s="36">
        <f t="shared" si="11"/>
        <v>2.970297176747385E-2</v>
      </c>
      <c r="AC7" s="36">
        <f t="shared" si="12"/>
        <v>6.6666666666666666E-2</v>
      </c>
      <c r="AD7" s="36">
        <f t="shared" si="13"/>
        <v>1.7628205128205131E-2</v>
      </c>
      <c r="AE7" s="36">
        <f t="shared" si="14"/>
        <v>2.970297176747385E-2</v>
      </c>
      <c r="AF7" s="71">
        <f t="shared" si="15"/>
        <v>1.7628205128205131E-2</v>
      </c>
      <c r="AG7" s="72">
        <f t="shared" si="16"/>
        <v>2.945393924558988E-2</v>
      </c>
      <c r="AH7" s="1"/>
      <c r="AI7" s="96">
        <f t="shared" si="17"/>
        <v>0.45079198702711565</v>
      </c>
      <c r="AJ7" s="97">
        <f t="shared" si="18"/>
        <v>15.30498122062272</v>
      </c>
      <c r="AK7" s="90"/>
      <c r="AL7" s="90"/>
      <c r="AM7" s="90"/>
      <c r="AN7" s="1"/>
      <c r="AO7" s="1"/>
      <c r="AP7" s="35"/>
    </row>
    <row r="8" spans="1:42" ht="14.5" thickBot="1" x14ac:dyDescent="0.35">
      <c r="A8" s="1"/>
      <c r="B8" s="50" t="s">
        <v>31</v>
      </c>
      <c r="C8" s="21">
        <v>0.2</v>
      </c>
      <c r="D8" s="3">
        <v>0.2</v>
      </c>
      <c r="E8" s="3">
        <v>0.2</v>
      </c>
      <c r="F8" s="3">
        <v>0.2</v>
      </c>
      <c r="G8" s="3">
        <v>1</v>
      </c>
      <c r="H8" s="3">
        <v>0.2</v>
      </c>
      <c r="I8" s="3">
        <v>0.14000000000000001</v>
      </c>
      <c r="J8" s="3">
        <v>0.2</v>
      </c>
      <c r="K8" s="3">
        <v>0.2</v>
      </c>
      <c r="L8" s="3">
        <v>0.14000000000000001</v>
      </c>
      <c r="M8" s="3">
        <v>0.14000000000000001</v>
      </c>
      <c r="N8" s="3">
        <v>1</v>
      </c>
      <c r="O8" s="3">
        <v>0.2</v>
      </c>
      <c r="P8" s="3">
        <v>0.14000000000000001</v>
      </c>
      <c r="Q8" s="16">
        <v>0.2</v>
      </c>
      <c r="R8" s="36">
        <f t="shared" si="1"/>
        <v>1.0683760683760686E-2</v>
      </c>
      <c r="S8" s="36">
        <f t="shared" si="2"/>
        <v>1.0683760683760686E-2</v>
      </c>
      <c r="T8" s="36">
        <f t="shared" si="3"/>
        <v>5.0761421319796959E-3</v>
      </c>
      <c r="U8" s="36">
        <f t="shared" si="4"/>
        <v>5.0761421319796959E-3</v>
      </c>
      <c r="V8" s="36">
        <f t="shared" si="5"/>
        <v>1.3333333333333334E-2</v>
      </c>
      <c r="W8" s="36">
        <f t="shared" si="6"/>
        <v>5.0761421319796959E-3</v>
      </c>
      <c r="X8" s="36">
        <f t="shared" si="7"/>
        <v>2.0792080237231697E-2</v>
      </c>
      <c r="Y8" s="36">
        <f t="shared" si="8"/>
        <v>5.0761421319796959E-3</v>
      </c>
      <c r="Z8" s="36">
        <f t="shared" si="9"/>
        <v>1.0683760683760686E-2</v>
      </c>
      <c r="AA8" s="36">
        <f t="shared" si="10"/>
        <v>2.0792080237231697E-2</v>
      </c>
      <c r="AB8" s="36">
        <f t="shared" si="11"/>
        <v>2.0792080237231697E-2</v>
      </c>
      <c r="AC8" s="36">
        <f t="shared" si="12"/>
        <v>1.3333333333333334E-2</v>
      </c>
      <c r="AD8" s="36">
        <f t="shared" si="13"/>
        <v>1.0683760683760686E-2</v>
      </c>
      <c r="AE8" s="36">
        <f t="shared" si="14"/>
        <v>2.0792080237231697E-2</v>
      </c>
      <c r="AF8" s="71">
        <f t="shared" si="15"/>
        <v>1.0683760683760686E-2</v>
      </c>
      <c r="AG8" s="72">
        <f t="shared" si="16"/>
        <v>1.2237223970821044E-2</v>
      </c>
      <c r="AH8" s="1"/>
      <c r="AI8" s="96">
        <f t="shared" si="17"/>
        <v>0.18614560048937506</v>
      </c>
      <c r="AJ8" s="97">
        <f t="shared" si="18"/>
        <v>15.211423843612614</v>
      </c>
      <c r="AK8" s="90"/>
      <c r="AL8" s="90"/>
      <c r="AM8" s="90"/>
      <c r="AN8" s="1"/>
      <c r="AO8" s="35"/>
      <c r="AP8" s="35"/>
    </row>
    <row r="9" spans="1:42" ht="14.5" thickBot="1" x14ac:dyDescent="0.35">
      <c r="A9" s="1"/>
      <c r="B9" s="48" t="s">
        <v>25</v>
      </c>
      <c r="C9" s="21">
        <v>0.33</v>
      </c>
      <c r="D9" s="3">
        <v>0.33</v>
      </c>
      <c r="E9" s="3">
        <v>1</v>
      </c>
      <c r="F9" s="3">
        <v>1</v>
      </c>
      <c r="G9" s="3">
        <v>5</v>
      </c>
      <c r="H9" s="3">
        <v>1</v>
      </c>
      <c r="I9" s="3">
        <v>0.2</v>
      </c>
      <c r="J9" s="3">
        <v>1</v>
      </c>
      <c r="K9" s="3">
        <v>0.33</v>
      </c>
      <c r="L9" s="3">
        <v>0.2</v>
      </c>
      <c r="M9" s="3">
        <v>0.2</v>
      </c>
      <c r="N9" s="3">
        <v>5</v>
      </c>
      <c r="O9" s="3">
        <v>0.33</v>
      </c>
      <c r="P9" s="3">
        <v>0.2</v>
      </c>
      <c r="Q9" s="16">
        <v>0.33</v>
      </c>
      <c r="R9" s="36">
        <f t="shared" si="1"/>
        <v>1.7628205128205131E-2</v>
      </c>
      <c r="S9" s="36">
        <f t="shared" si="2"/>
        <v>1.7628205128205131E-2</v>
      </c>
      <c r="T9" s="36">
        <f t="shared" si="3"/>
        <v>2.5380710659898477E-2</v>
      </c>
      <c r="U9" s="36">
        <f t="shared" si="4"/>
        <v>2.5380710659898477E-2</v>
      </c>
      <c r="V9" s="36">
        <f t="shared" si="5"/>
        <v>6.6666666666666666E-2</v>
      </c>
      <c r="W9" s="36">
        <f t="shared" si="6"/>
        <v>2.5380710659898477E-2</v>
      </c>
      <c r="X9" s="36">
        <f t="shared" si="7"/>
        <v>2.970297176747385E-2</v>
      </c>
      <c r="Y9" s="36">
        <f t="shared" si="8"/>
        <v>2.5380710659898477E-2</v>
      </c>
      <c r="Z9" s="36">
        <f t="shared" si="9"/>
        <v>1.7628205128205131E-2</v>
      </c>
      <c r="AA9" s="36">
        <f t="shared" si="10"/>
        <v>2.970297176747385E-2</v>
      </c>
      <c r="AB9" s="36">
        <f t="shared" si="11"/>
        <v>2.970297176747385E-2</v>
      </c>
      <c r="AC9" s="36">
        <f t="shared" si="12"/>
        <v>6.6666666666666666E-2</v>
      </c>
      <c r="AD9" s="36">
        <f t="shared" si="13"/>
        <v>1.7628205128205131E-2</v>
      </c>
      <c r="AE9" s="36">
        <f t="shared" si="14"/>
        <v>2.970297176747385E-2</v>
      </c>
      <c r="AF9" s="71">
        <f t="shared" si="15"/>
        <v>1.7628205128205131E-2</v>
      </c>
      <c r="AG9" s="72">
        <f t="shared" si="16"/>
        <v>2.945393924558988E-2</v>
      </c>
      <c r="AH9" s="1"/>
      <c r="AI9" s="96">
        <f t="shared" si="17"/>
        <v>0.45079198702711565</v>
      </c>
      <c r="AJ9" s="97">
        <f t="shared" si="18"/>
        <v>15.30498122062272</v>
      </c>
    </row>
    <row r="10" spans="1:42" ht="14.5" thickBot="1" x14ac:dyDescent="0.35">
      <c r="A10" s="1"/>
      <c r="B10" s="48" t="s">
        <v>27</v>
      </c>
      <c r="C10" s="21">
        <v>3</v>
      </c>
      <c r="D10" s="3">
        <v>3</v>
      </c>
      <c r="E10" s="3">
        <v>5</v>
      </c>
      <c r="F10" s="3">
        <v>5</v>
      </c>
      <c r="G10" s="3">
        <v>7</v>
      </c>
      <c r="H10" s="3">
        <v>5</v>
      </c>
      <c r="I10" s="3">
        <v>1</v>
      </c>
      <c r="J10" s="3">
        <v>5</v>
      </c>
      <c r="K10" s="3">
        <v>3</v>
      </c>
      <c r="L10" s="3">
        <v>1</v>
      </c>
      <c r="M10" s="3">
        <v>1</v>
      </c>
      <c r="N10" s="3">
        <v>7</v>
      </c>
      <c r="O10" s="3">
        <v>3</v>
      </c>
      <c r="P10" s="3">
        <v>1</v>
      </c>
      <c r="Q10" s="16">
        <v>3</v>
      </c>
      <c r="R10" s="36">
        <f t="shared" si="1"/>
        <v>0.16025641025641027</v>
      </c>
      <c r="S10" s="36">
        <f t="shared" si="2"/>
        <v>0.16025641025641027</v>
      </c>
      <c r="T10" s="36">
        <f t="shared" si="3"/>
        <v>0.12690355329949238</v>
      </c>
      <c r="U10" s="36">
        <f t="shared" si="4"/>
        <v>0.12690355329949238</v>
      </c>
      <c r="V10" s="36">
        <f t="shared" si="5"/>
        <v>9.3333333333333338E-2</v>
      </c>
      <c r="W10" s="36">
        <f t="shared" si="6"/>
        <v>0.12690355329949238</v>
      </c>
      <c r="X10" s="36">
        <f t="shared" si="7"/>
        <v>0.14851485883736926</v>
      </c>
      <c r="Y10" s="36">
        <f t="shared" si="8"/>
        <v>0.12690355329949238</v>
      </c>
      <c r="Z10" s="36">
        <f t="shared" si="9"/>
        <v>0.16025641025641027</v>
      </c>
      <c r="AA10" s="36">
        <f t="shared" si="10"/>
        <v>0.14851485883736926</v>
      </c>
      <c r="AB10" s="36">
        <f t="shared" si="11"/>
        <v>0.14851485883736926</v>
      </c>
      <c r="AC10" s="36">
        <f t="shared" si="12"/>
        <v>9.3333333333333338E-2</v>
      </c>
      <c r="AD10" s="36">
        <f t="shared" si="13"/>
        <v>0.16025641025641027</v>
      </c>
      <c r="AE10" s="36">
        <f t="shared" si="14"/>
        <v>0.14851485883736926</v>
      </c>
      <c r="AF10" s="71">
        <f t="shared" si="15"/>
        <v>0.16025641025641027</v>
      </c>
      <c r="AG10" s="72">
        <f t="shared" si="16"/>
        <v>0.13930815776641098</v>
      </c>
      <c r="AH10" s="1"/>
      <c r="AI10" s="96">
        <f t="shared" si="17"/>
        <v>2.2190640435999995</v>
      </c>
      <c r="AJ10" s="97">
        <f t="shared" si="18"/>
        <v>15.929175140775889</v>
      </c>
    </row>
    <row r="11" spans="1:42" ht="14.5" thickBot="1" x14ac:dyDescent="0.35">
      <c r="A11" s="1"/>
      <c r="B11" s="50" t="s">
        <v>20</v>
      </c>
      <c r="C11" s="21">
        <v>0.33</v>
      </c>
      <c r="D11" s="3">
        <v>0.33</v>
      </c>
      <c r="E11" s="3">
        <v>1</v>
      </c>
      <c r="F11" s="3">
        <v>1</v>
      </c>
      <c r="G11" s="3">
        <v>5</v>
      </c>
      <c r="H11" s="3">
        <v>1</v>
      </c>
      <c r="I11" s="3">
        <v>0.2</v>
      </c>
      <c r="J11" s="3">
        <v>1</v>
      </c>
      <c r="K11" s="3">
        <v>0.33</v>
      </c>
      <c r="L11" s="3">
        <v>0.2</v>
      </c>
      <c r="M11" s="3">
        <v>0.2</v>
      </c>
      <c r="N11" s="3">
        <v>5</v>
      </c>
      <c r="O11" s="3">
        <v>0.33</v>
      </c>
      <c r="P11" s="3">
        <v>0.2</v>
      </c>
      <c r="Q11" s="16">
        <v>0.33</v>
      </c>
      <c r="R11" s="36">
        <f t="shared" si="1"/>
        <v>1.7628205128205131E-2</v>
      </c>
      <c r="S11" s="36">
        <f t="shared" si="2"/>
        <v>1.7628205128205131E-2</v>
      </c>
      <c r="T11" s="36">
        <f t="shared" si="3"/>
        <v>2.5380710659898477E-2</v>
      </c>
      <c r="U11" s="36">
        <f t="shared" si="4"/>
        <v>2.5380710659898477E-2</v>
      </c>
      <c r="V11" s="36">
        <f t="shared" si="5"/>
        <v>6.6666666666666666E-2</v>
      </c>
      <c r="W11" s="36">
        <f t="shared" si="6"/>
        <v>2.5380710659898477E-2</v>
      </c>
      <c r="X11" s="36">
        <f t="shared" si="7"/>
        <v>2.970297176747385E-2</v>
      </c>
      <c r="Y11" s="36">
        <f t="shared" si="8"/>
        <v>2.5380710659898477E-2</v>
      </c>
      <c r="Z11" s="36">
        <f t="shared" si="9"/>
        <v>1.7628205128205131E-2</v>
      </c>
      <c r="AA11" s="36">
        <f t="shared" si="10"/>
        <v>2.970297176747385E-2</v>
      </c>
      <c r="AB11" s="36">
        <f t="shared" si="11"/>
        <v>2.970297176747385E-2</v>
      </c>
      <c r="AC11" s="36">
        <f t="shared" si="12"/>
        <v>6.6666666666666666E-2</v>
      </c>
      <c r="AD11" s="36">
        <f t="shared" si="13"/>
        <v>1.7628205128205131E-2</v>
      </c>
      <c r="AE11" s="36">
        <f t="shared" si="14"/>
        <v>2.970297176747385E-2</v>
      </c>
      <c r="AF11" s="71">
        <f t="shared" si="15"/>
        <v>1.7628205128205131E-2</v>
      </c>
      <c r="AG11" s="72">
        <f t="shared" si="16"/>
        <v>2.945393924558988E-2</v>
      </c>
      <c r="AH11" s="1"/>
      <c r="AI11" s="96">
        <f t="shared" si="17"/>
        <v>0.45079198702711565</v>
      </c>
      <c r="AJ11" s="97">
        <f t="shared" si="18"/>
        <v>15.30498122062272</v>
      </c>
    </row>
    <row r="12" spans="1:42" ht="14.5" thickBot="1" x14ac:dyDescent="0.35">
      <c r="A12" s="1"/>
      <c r="B12" s="48" t="s">
        <v>19</v>
      </c>
      <c r="C12" s="21">
        <v>1</v>
      </c>
      <c r="D12" s="3">
        <v>1</v>
      </c>
      <c r="E12" s="3">
        <v>3</v>
      </c>
      <c r="F12" s="3">
        <v>3</v>
      </c>
      <c r="G12" s="3">
        <v>5</v>
      </c>
      <c r="H12" s="3">
        <v>3</v>
      </c>
      <c r="I12" s="3">
        <v>0.33</v>
      </c>
      <c r="J12" s="3">
        <v>3</v>
      </c>
      <c r="K12" s="3">
        <v>1</v>
      </c>
      <c r="L12" s="3">
        <v>0.33</v>
      </c>
      <c r="M12" s="3">
        <v>0.33</v>
      </c>
      <c r="N12" s="3">
        <v>5</v>
      </c>
      <c r="O12" s="3">
        <v>1</v>
      </c>
      <c r="P12" s="3">
        <v>0.33</v>
      </c>
      <c r="Q12" s="16">
        <v>1</v>
      </c>
      <c r="R12" s="36">
        <f t="shared" si="1"/>
        <v>5.3418803418803423E-2</v>
      </c>
      <c r="S12" s="36">
        <f t="shared" si="2"/>
        <v>5.3418803418803423E-2</v>
      </c>
      <c r="T12" s="36">
        <f t="shared" si="3"/>
        <v>7.6142131979695438E-2</v>
      </c>
      <c r="U12" s="36">
        <f t="shared" si="4"/>
        <v>7.6142131979695438E-2</v>
      </c>
      <c r="V12" s="36">
        <f t="shared" si="5"/>
        <v>6.6666666666666666E-2</v>
      </c>
      <c r="W12" s="36">
        <f t="shared" si="6"/>
        <v>7.6142131979695438E-2</v>
      </c>
      <c r="X12" s="36">
        <f t="shared" si="7"/>
        <v>4.9009903416331851E-2</v>
      </c>
      <c r="Y12" s="36">
        <f t="shared" si="8"/>
        <v>7.6142131979695438E-2</v>
      </c>
      <c r="Z12" s="36">
        <f t="shared" si="9"/>
        <v>5.3418803418803423E-2</v>
      </c>
      <c r="AA12" s="36">
        <f t="shared" si="10"/>
        <v>4.9009903416331851E-2</v>
      </c>
      <c r="AB12" s="36">
        <f t="shared" si="11"/>
        <v>4.9009903416331851E-2</v>
      </c>
      <c r="AC12" s="36">
        <f t="shared" si="12"/>
        <v>6.6666666666666666E-2</v>
      </c>
      <c r="AD12" s="36">
        <f t="shared" si="13"/>
        <v>5.3418803418803423E-2</v>
      </c>
      <c r="AE12" s="36">
        <f t="shared" si="14"/>
        <v>4.9009903416331851E-2</v>
      </c>
      <c r="AF12" s="71">
        <f t="shared" si="15"/>
        <v>5.3418803418803423E-2</v>
      </c>
      <c r="AG12" s="72">
        <f t="shared" si="16"/>
        <v>6.006903280076397E-2</v>
      </c>
      <c r="AH12" s="1"/>
      <c r="AI12" s="96">
        <f t="shared" si="17"/>
        <v>0.96018344291730584</v>
      </c>
      <c r="AJ12" s="97">
        <f t="shared" si="18"/>
        <v>15.9846662772485</v>
      </c>
    </row>
    <row r="13" spans="1:42" ht="14.5" thickBot="1" x14ac:dyDescent="0.35">
      <c r="A13" s="1"/>
      <c r="B13" s="50" t="s">
        <v>32</v>
      </c>
      <c r="C13" s="21">
        <v>3</v>
      </c>
      <c r="D13" s="3">
        <v>3</v>
      </c>
      <c r="E13" s="3">
        <v>5</v>
      </c>
      <c r="F13" s="3">
        <v>5</v>
      </c>
      <c r="G13" s="3">
        <v>7</v>
      </c>
      <c r="H13" s="3">
        <v>5</v>
      </c>
      <c r="I13" s="3">
        <v>1</v>
      </c>
      <c r="J13" s="3">
        <v>5</v>
      </c>
      <c r="K13" s="3">
        <v>3</v>
      </c>
      <c r="L13" s="3">
        <v>1</v>
      </c>
      <c r="M13" s="3">
        <v>1</v>
      </c>
      <c r="N13" s="3">
        <v>7</v>
      </c>
      <c r="O13" s="3">
        <v>3</v>
      </c>
      <c r="P13" s="3">
        <v>1</v>
      </c>
      <c r="Q13" s="16">
        <v>3</v>
      </c>
      <c r="R13" s="36">
        <f t="shared" si="1"/>
        <v>0.16025641025641027</v>
      </c>
      <c r="S13" s="36">
        <f t="shared" si="2"/>
        <v>0.16025641025641027</v>
      </c>
      <c r="T13" s="36">
        <f t="shared" si="3"/>
        <v>0.12690355329949238</v>
      </c>
      <c r="U13" s="36">
        <f t="shared" si="4"/>
        <v>0.12690355329949238</v>
      </c>
      <c r="V13" s="36">
        <f t="shared" si="5"/>
        <v>9.3333333333333338E-2</v>
      </c>
      <c r="W13" s="36">
        <f t="shared" si="6"/>
        <v>0.12690355329949238</v>
      </c>
      <c r="X13" s="36">
        <f t="shared" si="7"/>
        <v>0.14851485883736926</v>
      </c>
      <c r="Y13" s="36">
        <f t="shared" si="8"/>
        <v>0.12690355329949238</v>
      </c>
      <c r="Z13" s="36">
        <f t="shared" si="9"/>
        <v>0.16025641025641027</v>
      </c>
      <c r="AA13" s="36">
        <f t="shared" si="10"/>
        <v>0.14851485883736926</v>
      </c>
      <c r="AB13" s="36">
        <f t="shared" si="11"/>
        <v>0.14851485883736926</v>
      </c>
      <c r="AC13" s="36">
        <f t="shared" si="12"/>
        <v>9.3333333333333338E-2</v>
      </c>
      <c r="AD13" s="36">
        <f t="shared" si="13"/>
        <v>0.16025641025641027</v>
      </c>
      <c r="AE13" s="36">
        <f t="shared" si="14"/>
        <v>0.14851485883736926</v>
      </c>
      <c r="AF13" s="71">
        <f t="shared" si="15"/>
        <v>0.16025641025641027</v>
      </c>
      <c r="AG13" s="72">
        <f t="shared" si="16"/>
        <v>0.13930815776641098</v>
      </c>
      <c r="AH13" s="1"/>
      <c r="AI13" s="96">
        <f t="shared" si="17"/>
        <v>2.2190640435999995</v>
      </c>
      <c r="AJ13" s="97">
        <f t="shared" si="18"/>
        <v>15.929175140775889</v>
      </c>
    </row>
    <row r="14" spans="1:42" ht="14.5" thickBot="1" x14ac:dyDescent="0.35">
      <c r="A14" s="1"/>
      <c r="B14" s="50" t="s">
        <v>26</v>
      </c>
      <c r="C14" s="21">
        <v>3</v>
      </c>
      <c r="D14" s="3">
        <v>3</v>
      </c>
      <c r="E14" s="3">
        <v>5</v>
      </c>
      <c r="F14" s="3">
        <v>5</v>
      </c>
      <c r="G14" s="3">
        <v>7</v>
      </c>
      <c r="H14" s="3">
        <v>5</v>
      </c>
      <c r="I14" s="3">
        <v>1</v>
      </c>
      <c r="J14" s="3">
        <v>5</v>
      </c>
      <c r="K14" s="3">
        <v>3</v>
      </c>
      <c r="L14" s="3">
        <v>1</v>
      </c>
      <c r="M14" s="3">
        <v>1</v>
      </c>
      <c r="N14" s="3">
        <v>7</v>
      </c>
      <c r="O14" s="3">
        <v>3</v>
      </c>
      <c r="P14" s="3">
        <v>1</v>
      </c>
      <c r="Q14" s="16">
        <v>3</v>
      </c>
      <c r="R14" s="36">
        <f t="shared" si="1"/>
        <v>0.16025641025641027</v>
      </c>
      <c r="S14" s="36">
        <f t="shared" si="2"/>
        <v>0.16025641025641027</v>
      </c>
      <c r="T14" s="36">
        <f t="shared" si="3"/>
        <v>0.12690355329949238</v>
      </c>
      <c r="U14" s="36">
        <f t="shared" si="4"/>
        <v>0.12690355329949238</v>
      </c>
      <c r="V14" s="36">
        <f t="shared" si="5"/>
        <v>9.3333333333333338E-2</v>
      </c>
      <c r="W14" s="36">
        <f t="shared" si="6"/>
        <v>0.12690355329949238</v>
      </c>
      <c r="X14" s="36">
        <f t="shared" si="7"/>
        <v>0.14851485883736926</v>
      </c>
      <c r="Y14" s="36">
        <f t="shared" si="8"/>
        <v>0.12690355329949238</v>
      </c>
      <c r="Z14" s="36">
        <f t="shared" si="9"/>
        <v>0.16025641025641027</v>
      </c>
      <c r="AA14" s="36">
        <f t="shared" si="10"/>
        <v>0.14851485883736926</v>
      </c>
      <c r="AB14" s="36">
        <f t="shared" si="11"/>
        <v>0.14851485883736926</v>
      </c>
      <c r="AC14" s="36">
        <f t="shared" si="12"/>
        <v>9.3333333333333338E-2</v>
      </c>
      <c r="AD14" s="36">
        <f t="shared" si="13"/>
        <v>0.16025641025641027</v>
      </c>
      <c r="AE14" s="36">
        <f t="shared" si="14"/>
        <v>0.14851485883736926</v>
      </c>
      <c r="AF14" s="71">
        <f t="shared" si="15"/>
        <v>0.16025641025641027</v>
      </c>
      <c r="AG14" s="72">
        <f t="shared" si="16"/>
        <v>0.13930815776641098</v>
      </c>
      <c r="AH14" s="1"/>
      <c r="AI14" s="96">
        <f t="shared" si="17"/>
        <v>2.2190640435999995</v>
      </c>
      <c r="AJ14" s="97">
        <f t="shared" si="18"/>
        <v>15.929175140775889</v>
      </c>
    </row>
    <row r="15" spans="1:42" ht="14.5" thickBot="1" x14ac:dyDescent="0.35">
      <c r="A15" s="1"/>
      <c r="B15" s="48" t="s">
        <v>30</v>
      </c>
      <c r="C15" s="21">
        <v>0.2</v>
      </c>
      <c r="D15" s="3">
        <v>0.2</v>
      </c>
      <c r="E15" s="3">
        <v>0.2</v>
      </c>
      <c r="F15" s="3">
        <v>0.2</v>
      </c>
      <c r="G15" s="3">
        <v>1</v>
      </c>
      <c r="H15" s="3">
        <v>0.2</v>
      </c>
      <c r="I15" s="3">
        <v>0.14000000000000001</v>
      </c>
      <c r="J15" s="3">
        <v>0.2</v>
      </c>
      <c r="K15" s="3">
        <v>0.2</v>
      </c>
      <c r="L15" s="3">
        <v>0.14000000000000001</v>
      </c>
      <c r="M15" s="3">
        <v>0.14000000000000001</v>
      </c>
      <c r="N15" s="3">
        <v>1</v>
      </c>
      <c r="O15" s="3">
        <v>0.2</v>
      </c>
      <c r="P15" s="3">
        <v>0.14000000000000001</v>
      </c>
      <c r="Q15" s="16">
        <v>0.2</v>
      </c>
      <c r="R15" s="36">
        <f t="shared" si="1"/>
        <v>1.0683760683760686E-2</v>
      </c>
      <c r="S15" s="36">
        <f t="shared" si="2"/>
        <v>1.0683760683760686E-2</v>
      </c>
      <c r="T15" s="36">
        <f t="shared" si="3"/>
        <v>5.0761421319796959E-3</v>
      </c>
      <c r="U15" s="36">
        <f t="shared" si="4"/>
        <v>5.0761421319796959E-3</v>
      </c>
      <c r="V15" s="36">
        <f t="shared" si="5"/>
        <v>1.3333333333333334E-2</v>
      </c>
      <c r="W15" s="36">
        <f t="shared" si="6"/>
        <v>5.0761421319796959E-3</v>
      </c>
      <c r="X15" s="36">
        <f t="shared" si="7"/>
        <v>2.0792080237231697E-2</v>
      </c>
      <c r="Y15" s="36">
        <f t="shared" si="8"/>
        <v>5.0761421319796959E-3</v>
      </c>
      <c r="Z15" s="36">
        <f t="shared" si="9"/>
        <v>1.0683760683760686E-2</v>
      </c>
      <c r="AA15" s="36">
        <f t="shared" si="10"/>
        <v>2.0792080237231697E-2</v>
      </c>
      <c r="AB15" s="36">
        <f t="shared" si="11"/>
        <v>2.0792080237231697E-2</v>
      </c>
      <c r="AC15" s="36">
        <f t="shared" si="12"/>
        <v>1.3333333333333334E-2</v>
      </c>
      <c r="AD15" s="36">
        <f t="shared" si="13"/>
        <v>1.0683760683760686E-2</v>
      </c>
      <c r="AE15" s="36">
        <f t="shared" si="14"/>
        <v>2.0792080237231697E-2</v>
      </c>
      <c r="AF15" s="71">
        <f t="shared" si="15"/>
        <v>1.0683760683760686E-2</v>
      </c>
      <c r="AG15" s="72">
        <f t="shared" si="16"/>
        <v>1.2237223970821044E-2</v>
      </c>
      <c r="AH15" s="1"/>
      <c r="AI15" s="96">
        <f t="shared" si="17"/>
        <v>0.18614560048937506</v>
      </c>
      <c r="AJ15" s="97">
        <f t="shared" si="18"/>
        <v>15.211423843612614</v>
      </c>
    </row>
    <row r="16" spans="1:42" ht="14.5" thickBot="1" x14ac:dyDescent="0.35">
      <c r="A16" s="1"/>
      <c r="B16" s="50" t="s">
        <v>28</v>
      </c>
      <c r="C16" s="21">
        <v>1</v>
      </c>
      <c r="D16" s="3">
        <v>1</v>
      </c>
      <c r="E16" s="3">
        <v>3</v>
      </c>
      <c r="F16" s="3">
        <v>3</v>
      </c>
      <c r="G16" s="3">
        <v>5</v>
      </c>
      <c r="H16" s="3">
        <v>3</v>
      </c>
      <c r="I16" s="3">
        <v>0.33</v>
      </c>
      <c r="J16" s="3">
        <v>3</v>
      </c>
      <c r="K16" s="3">
        <v>1</v>
      </c>
      <c r="L16" s="3">
        <v>0.33</v>
      </c>
      <c r="M16" s="3">
        <v>0.33</v>
      </c>
      <c r="N16" s="3">
        <v>5</v>
      </c>
      <c r="O16" s="3">
        <v>1</v>
      </c>
      <c r="P16" s="3">
        <v>0.33</v>
      </c>
      <c r="Q16" s="16">
        <v>1</v>
      </c>
      <c r="R16" s="36">
        <f t="shared" si="1"/>
        <v>5.3418803418803423E-2</v>
      </c>
      <c r="S16" s="36">
        <f t="shared" si="2"/>
        <v>5.3418803418803423E-2</v>
      </c>
      <c r="T16" s="36">
        <f t="shared" si="3"/>
        <v>7.6142131979695438E-2</v>
      </c>
      <c r="U16" s="36">
        <f t="shared" si="4"/>
        <v>7.6142131979695438E-2</v>
      </c>
      <c r="V16" s="36">
        <f t="shared" si="5"/>
        <v>6.6666666666666666E-2</v>
      </c>
      <c r="W16" s="36">
        <f t="shared" si="6"/>
        <v>7.6142131979695438E-2</v>
      </c>
      <c r="X16" s="36">
        <f t="shared" si="7"/>
        <v>4.9009903416331851E-2</v>
      </c>
      <c r="Y16" s="36">
        <f t="shared" si="8"/>
        <v>7.6142131979695438E-2</v>
      </c>
      <c r="Z16" s="36">
        <f t="shared" si="9"/>
        <v>5.3418803418803423E-2</v>
      </c>
      <c r="AA16" s="36">
        <f t="shared" si="10"/>
        <v>4.9009903416331851E-2</v>
      </c>
      <c r="AB16" s="36">
        <f t="shared" si="11"/>
        <v>4.9009903416331851E-2</v>
      </c>
      <c r="AC16" s="36">
        <f t="shared" si="12"/>
        <v>6.6666666666666666E-2</v>
      </c>
      <c r="AD16" s="36">
        <f t="shared" si="13"/>
        <v>5.3418803418803423E-2</v>
      </c>
      <c r="AE16" s="36">
        <f t="shared" si="14"/>
        <v>4.9009903416331851E-2</v>
      </c>
      <c r="AF16" s="71">
        <f t="shared" si="15"/>
        <v>5.3418803418803423E-2</v>
      </c>
      <c r="AG16" s="72">
        <f t="shared" si="16"/>
        <v>6.006903280076397E-2</v>
      </c>
      <c r="AH16" s="1"/>
      <c r="AI16" s="96">
        <f t="shared" si="17"/>
        <v>0.96018344291730584</v>
      </c>
      <c r="AJ16" s="97">
        <f t="shared" si="18"/>
        <v>15.9846662772485</v>
      </c>
    </row>
    <row r="17" spans="1:36" ht="14.5" thickBot="1" x14ac:dyDescent="0.35">
      <c r="A17" s="1"/>
      <c r="B17" s="50" t="s">
        <v>23</v>
      </c>
      <c r="C17" s="21">
        <v>3</v>
      </c>
      <c r="D17" s="3">
        <v>3</v>
      </c>
      <c r="E17" s="3">
        <v>5</v>
      </c>
      <c r="F17" s="3">
        <v>5</v>
      </c>
      <c r="G17" s="3">
        <v>7</v>
      </c>
      <c r="H17" s="3">
        <v>5</v>
      </c>
      <c r="I17" s="3">
        <v>1</v>
      </c>
      <c r="J17" s="3">
        <v>5</v>
      </c>
      <c r="K17" s="3">
        <v>3</v>
      </c>
      <c r="L17" s="3">
        <v>1</v>
      </c>
      <c r="M17" s="3">
        <v>1</v>
      </c>
      <c r="N17" s="3">
        <v>7</v>
      </c>
      <c r="O17" s="3">
        <v>3</v>
      </c>
      <c r="P17" s="3">
        <v>1</v>
      </c>
      <c r="Q17" s="16">
        <v>3</v>
      </c>
      <c r="R17" s="36">
        <f t="shared" si="1"/>
        <v>0.16025641025641027</v>
      </c>
      <c r="S17" s="36">
        <f t="shared" si="2"/>
        <v>0.16025641025641027</v>
      </c>
      <c r="T17" s="36">
        <f t="shared" si="3"/>
        <v>0.12690355329949238</v>
      </c>
      <c r="U17" s="36">
        <f t="shared" si="4"/>
        <v>0.12690355329949238</v>
      </c>
      <c r="V17" s="36">
        <f t="shared" si="5"/>
        <v>9.3333333333333338E-2</v>
      </c>
      <c r="W17" s="36">
        <f t="shared" si="6"/>
        <v>0.12690355329949238</v>
      </c>
      <c r="X17" s="36">
        <f t="shared" si="7"/>
        <v>0.14851485883736926</v>
      </c>
      <c r="Y17" s="36">
        <f t="shared" si="8"/>
        <v>0.12690355329949238</v>
      </c>
      <c r="Z17" s="36">
        <f t="shared" si="9"/>
        <v>0.16025641025641027</v>
      </c>
      <c r="AA17" s="36">
        <f t="shared" si="10"/>
        <v>0.14851485883736926</v>
      </c>
      <c r="AB17" s="36">
        <f t="shared" si="11"/>
        <v>0.14851485883736926</v>
      </c>
      <c r="AC17" s="36">
        <f t="shared" si="12"/>
        <v>9.3333333333333338E-2</v>
      </c>
      <c r="AD17" s="36">
        <f t="shared" si="13"/>
        <v>0.16025641025641027</v>
      </c>
      <c r="AE17" s="36">
        <f t="shared" si="14"/>
        <v>0.14851485883736926</v>
      </c>
      <c r="AF17" s="71">
        <f t="shared" si="15"/>
        <v>0.16025641025641027</v>
      </c>
      <c r="AG17" s="72">
        <f t="shared" si="16"/>
        <v>0.13930815776641098</v>
      </c>
      <c r="AH17" s="1"/>
      <c r="AI17" s="96">
        <f t="shared" si="17"/>
        <v>2.2190640435999995</v>
      </c>
      <c r="AJ17" s="97">
        <f t="shared" si="18"/>
        <v>15.929175140775889</v>
      </c>
    </row>
    <row r="18" spans="1:36" ht="14.5" thickBot="1" x14ac:dyDescent="0.35">
      <c r="A18" s="1"/>
      <c r="B18" s="48" t="s">
        <v>21</v>
      </c>
      <c r="C18" s="22">
        <v>1</v>
      </c>
      <c r="D18" s="18">
        <v>1</v>
      </c>
      <c r="E18" s="18">
        <v>3</v>
      </c>
      <c r="F18" s="18">
        <v>3</v>
      </c>
      <c r="G18" s="18">
        <v>5</v>
      </c>
      <c r="H18" s="18">
        <v>3</v>
      </c>
      <c r="I18" s="18">
        <v>0.33333299999999999</v>
      </c>
      <c r="J18" s="18">
        <v>3</v>
      </c>
      <c r="K18" s="18">
        <v>1</v>
      </c>
      <c r="L18" s="18">
        <v>0.33333299999999999</v>
      </c>
      <c r="M18" s="18">
        <v>0.33333299999999999</v>
      </c>
      <c r="N18" s="18">
        <v>5</v>
      </c>
      <c r="O18" s="18">
        <v>1</v>
      </c>
      <c r="P18" s="18">
        <v>0.33333299999999999</v>
      </c>
      <c r="Q18" s="17">
        <v>1</v>
      </c>
      <c r="R18" s="36">
        <f t="shared" si="1"/>
        <v>5.3418803418803423E-2</v>
      </c>
      <c r="S18" s="36">
        <f t="shared" si="2"/>
        <v>5.3418803418803423E-2</v>
      </c>
      <c r="T18" s="36">
        <f t="shared" si="3"/>
        <v>7.6142131979695438E-2</v>
      </c>
      <c r="U18" s="36">
        <f t="shared" si="4"/>
        <v>7.6142131979695438E-2</v>
      </c>
      <c r="V18" s="36">
        <f t="shared" si="5"/>
        <v>6.6666666666666666E-2</v>
      </c>
      <c r="W18" s="36">
        <f t="shared" si="6"/>
        <v>7.6142131979695438E-2</v>
      </c>
      <c r="X18" s="36">
        <f t="shared" si="7"/>
        <v>4.95049034408368E-2</v>
      </c>
      <c r="Y18" s="36">
        <f t="shared" si="8"/>
        <v>7.6142131979695438E-2</v>
      </c>
      <c r="Z18" s="36">
        <f t="shared" si="9"/>
        <v>5.3418803418803423E-2</v>
      </c>
      <c r="AA18" s="36">
        <f t="shared" si="10"/>
        <v>4.95049034408368E-2</v>
      </c>
      <c r="AB18" s="36">
        <f t="shared" si="11"/>
        <v>4.95049034408368E-2</v>
      </c>
      <c r="AC18" s="36">
        <f t="shared" si="12"/>
        <v>6.6666666666666666E-2</v>
      </c>
      <c r="AD18" s="36">
        <f t="shared" si="13"/>
        <v>5.3418803418803423E-2</v>
      </c>
      <c r="AE18" s="36">
        <f t="shared" si="14"/>
        <v>4.95049034408368E-2</v>
      </c>
      <c r="AF18" s="71">
        <f t="shared" si="15"/>
        <v>5.3418803418803423E-2</v>
      </c>
      <c r="AG18" s="34">
        <f t="shared" si="16"/>
        <v>6.0201032807298632E-2</v>
      </c>
      <c r="AH18" s="1"/>
      <c r="AI18" s="96">
        <f t="shared" si="17"/>
        <v>0.96204069927664781</v>
      </c>
      <c r="AJ18" s="97">
        <f t="shared" si="18"/>
        <v>15.980468347712669</v>
      </c>
    </row>
    <row r="19" spans="1:36" ht="14.5" thickBot="1" x14ac:dyDescent="0.35">
      <c r="A19" s="1"/>
      <c r="B19" s="23" t="s">
        <v>7</v>
      </c>
      <c r="C19" s="40">
        <f>SUM(C4:C18)</f>
        <v>18.72</v>
      </c>
      <c r="D19" s="40">
        <f t="shared" ref="D19:Q19" si="19">SUM(D4:D18)</f>
        <v>18.72</v>
      </c>
      <c r="E19" s="40">
        <f t="shared" si="19"/>
        <v>39.4</v>
      </c>
      <c r="F19" s="40">
        <f t="shared" si="19"/>
        <v>39.4</v>
      </c>
      <c r="G19" s="40">
        <f t="shared" si="19"/>
        <v>75</v>
      </c>
      <c r="H19" s="40">
        <f t="shared" si="19"/>
        <v>39.4</v>
      </c>
      <c r="I19" s="40">
        <f t="shared" si="19"/>
        <v>6.733333</v>
      </c>
      <c r="J19" s="40">
        <f t="shared" si="19"/>
        <v>39.4</v>
      </c>
      <c r="K19" s="40">
        <f t="shared" si="19"/>
        <v>18.72</v>
      </c>
      <c r="L19" s="40">
        <f t="shared" si="19"/>
        <v>6.733333</v>
      </c>
      <c r="M19" s="40">
        <f t="shared" si="19"/>
        <v>6.733333</v>
      </c>
      <c r="N19" s="40">
        <f t="shared" si="19"/>
        <v>75</v>
      </c>
      <c r="O19" s="40">
        <f t="shared" si="19"/>
        <v>18.72</v>
      </c>
      <c r="P19" s="40">
        <f t="shared" si="19"/>
        <v>6.733333</v>
      </c>
      <c r="Q19" s="40">
        <f t="shared" si="19"/>
        <v>18.72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6" ht="14.5" thickBot="1" x14ac:dyDescent="0.35">
      <c r="B20" s="117" t="s">
        <v>9</v>
      </c>
      <c r="C20" s="118">
        <f>AG4</f>
        <v>6.006903280076397E-2</v>
      </c>
      <c r="D20" s="118">
        <f>AG5</f>
        <v>6.006903280076397E-2</v>
      </c>
      <c r="E20" s="118">
        <f>AG6</f>
        <v>2.945393924558988E-2</v>
      </c>
      <c r="F20" s="118">
        <f>AG7</f>
        <v>2.945393924558988E-2</v>
      </c>
      <c r="G20" s="118">
        <f>AG8</f>
        <v>1.2237223970821044E-2</v>
      </c>
      <c r="H20" s="118">
        <f>AG9</f>
        <v>2.945393924558988E-2</v>
      </c>
      <c r="I20" s="118">
        <f>AG10</f>
        <v>0.13930815776641098</v>
      </c>
      <c r="J20" s="118">
        <f>AG11</f>
        <v>2.945393924558988E-2</v>
      </c>
      <c r="K20" s="118">
        <f>AG12</f>
        <v>6.006903280076397E-2</v>
      </c>
      <c r="L20" s="118">
        <f>AG13</f>
        <v>0.13930815776641098</v>
      </c>
      <c r="M20" s="118">
        <f>AG14</f>
        <v>0.13930815776641098</v>
      </c>
      <c r="N20" s="118">
        <f>AG15</f>
        <v>1.2237223970821044E-2</v>
      </c>
      <c r="O20" s="118">
        <f>AG16</f>
        <v>6.006903280076397E-2</v>
      </c>
      <c r="P20" s="118">
        <f>AG17</f>
        <v>0.13930815776641098</v>
      </c>
      <c r="Q20" s="119">
        <f>AG18</f>
        <v>6.0201032807298632E-2</v>
      </c>
    </row>
    <row r="22" spans="1:36" ht="14.5" x14ac:dyDescent="0.3"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</row>
  </sheetData>
  <mergeCells count="2">
    <mergeCell ref="B2:AG2"/>
    <mergeCell ref="R3:AF3"/>
  </mergeCells>
  <conditionalFormatting sqref="AP4">
    <cfRule type="cellIs" dxfId="3" priority="1" operator="greaterThan">
      <formula>0.1</formula>
    </cfRule>
    <cfRule type="cellIs" dxfId="2" priority="2" operator="lessThan">
      <formula>0.1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D323-BC3F-41DA-B666-0CCAE10F8F51}">
  <dimension ref="A1:AP20"/>
  <sheetViews>
    <sheetView topLeftCell="AD1" zoomScale="146" zoomScaleNormal="85" workbookViewId="0">
      <selection activeCell="O27" sqref="O27"/>
    </sheetView>
  </sheetViews>
  <sheetFormatPr baseColWidth="10" defaultRowHeight="14" x14ac:dyDescent="0.3"/>
  <cols>
    <col min="1" max="1" width="10.90625" style="44"/>
    <col min="2" max="2" width="25.08984375" style="44" customWidth="1"/>
    <col min="3" max="11" width="10.6328125" style="44" customWidth="1"/>
    <col min="12" max="17" width="10.90625" style="44"/>
    <col min="18" max="32" width="7.81640625" style="44" customWidth="1"/>
    <col min="33" max="16384" width="10.90625" style="44"/>
  </cols>
  <sheetData>
    <row r="1" spans="1:42" ht="14.5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42" ht="14.5" thickBot="1" x14ac:dyDescent="0.35">
      <c r="A2" s="1"/>
      <c r="B2" s="165" t="s">
        <v>14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7"/>
      <c r="AH2" s="1"/>
    </row>
    <row r="3" spans="1:42" s="47" customFormat="1" ht="42.5" thickBot="1" x14ac:dyDescent="0.35">
      <c r="A3" s="1"/>
      <c r="B3" s="12" t="s">
        <v>0</v>
      </c>
      <c r="C3" s="45" t="s">
        <v>22</v>
      </c>
      <c r="D3" s="45" t="s">
        <v>29</v>
      </c>
      <c r="E3" s="14" t="s">
        <v>18</v>
      </c>
      <c r="F3" s="46" t="s">
        <v>24</v>
      </c>
      <c r="G3" s="46" t="s">
        <v>31</v>
      </c>
      <c r="H3" s="45" t="s">
        <v>25</v>
      </c>
      <c r="I3" s="45" t="s">
        <v>27</v>
      </c>
      <c r="J3" s="46" t="s">
        <v>20</v>
      </c>
      <c r="K3" s="45" t="s">
        <v>19</v>
      </c>
      <c r="L3" s="46" t="s">
        <v>32</v>
      </c>
      <c r="M3" s="46" t="s">
        <v>26</v>
      </c>
      <c r="N3" s="45" t="s">
        <v>30</v>
      </c>
      <c r="O3" s="46" t="s">
        <v>28</v>
      </c>
      <c r="P3" s="46" t="s">
        <v>23</v>
      </c>
      <c r="Q3" s="45" t="s">
        <v>21</v>
      </c>
      <c r="R3" s="168" t="s">
        <v>8</v>
      </c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69"/>
      <c r="AG3" s="12" t="s">
        <v>12</v>
      </c>
      <c r="AH3" s="1"/>
      <c r="AI3" s="14" t="s">
        <v>43</v>
      </c>
      <c r="AJ3" s="12" t="s">
        <v>41</v>
      </c>
      <c r="AK3" s="12" t="s">
        <v>45</v>
      </c>
      <c r="AL3" s="12" t="s">
        <v>44</v>
      </c>
      <c r="AM3" s="12" t="s">
        <v>46</v>
      </c>
      <c r="AN3" s="1"/>
      <c r="AO3" s="12" t="s">
        <v>42</v>
      </c>
      <c r="AP3" s="39">
        <f>(AK4-AL4)/(AL4-1)</f>
        <v>6.3512474966449892E-2</v>
      </c>
    </row>
    <row r="4" spans="1:42" ht="15" thickBot="1" x14ac:dyDescent="0.35">
      <c r="A4" s="1"/>
      <c r="B4" s="48" t="s">
        <v>22</v>
      </c>
      <c r="C4" s="79">
        <v>1</v>
      </c>
      <c r="D4" s="80">
        <v>5</v>
      </c>
      <c r="E4" s="80">
        <v>1</v>
      </c>
      <c r="F4" s="80">
        <v>0.2</v>
      </c>
      <c r="G4" s="80">
        <v>5</v>
      </c>
      <c r="H4" s="80">
        <v>5</v>
      </c>
      <c r="I4" s="80">
        <v>0.33</v>
      </c>
      <c r="J4" s="80">
        <v>5</v>
      </c>
      <c r="K4" s="80">
        <v>1</v>
      </c>
      <c r="L4" s="80">
        <v>0.2</v>
      </c>
      <c r="M4" s="80">
        <v>0.2</v>
      </c>
      <c r="N4" s="80">
        <v>5</v>
      </c>
      <c r="O4" s="80">
        <v>1</v>
      </c>
      <c r="P4" s="80">
        <v>1</v>
      </c>
      <c r="Q4" s="81">
        <v>1</v>
      </c>
      <c r="R4" s="36">
        <f>C4/C$19</f>
        <v>0.04</v>
      </c>
      <c r="S4" s="36">
        <f t="shared" ref="S4:AF4" si="0">D4/D$19</f>
        <v>7.9365079365079361E-2</v>
      </c>
      <c r="T4" s="36">
        <f t="shared" si="0"/>
        <v>0.04</v>
      </c>
      <c r="U4" s="36">
        <f t="shared" si="0"/>
        <v>2.7662517289073305E-2</v>
      </c>
      <c r="V4" s="36">
        <f t="shared" si="0"/>
        <v>7.9365079365079361E-2</v>
      </c>
      <c r="W4" s="36">
        <f t="shared" si="0"/>
        <v>7.9365079365079361E-2</v>
      </c>
      <c r="X4" s="36">
        <f t="shared" si="0"/>
        <v>2.5423728813559324E-2</v>
      </c>
      <c r="Y4" s="36">
        <f t="shared" si="0"/>
        <v>7.9365079365079361E-2</v>
      </c>
      <c r="Z4" s="36">
        <f t="shared" si="0"/>
        <v>0.04</v>
      </c>
      <c r="AA4" s="36">
        <f t="shared" si="0"/>
        <v>2.7662517289073305E-2</v>
      </c>
      <c r="AB4" s="36">
        <f t="shared" si="0"/>
        <v>5.3475935828876997E-2</v>
      </c>
      <c r="AC4" s="36">
        <f t="shared" si="0"/>
        <v>7.9365079365079361E-2</v>
      </c>
      <c r="AD4" s="36">
        <f t="shared" si="0"/>
        <v>0.04</v>
      </c>
      <c r="AE4" s="36">
        <f t="shared" si="0"/>
        <v>0.04</v>
      </c>
      <c r="AF4" s="36">
        <f t="shared" si="0"/>
        <v>0.04</v>
      </c>
      <c r="AG4" s="39">
        <f>AVERAGE(R4:AF4)</f>
        <v>5.1403339736398657E-2</v>
      </c>
      <c r="AH4" s="1"/>
      <c r="AI4" s="96">
        <f>SUMPRODUCT(C4:Q4,$C$20:$Q$20)</f>
        <v>0.79609903396868931</v>
      </c>
      <c r="AJ4" s="97">
        <f>AI4/AG4</f>
        <v>15.48730175998608</v>
      </c>
      <c r="AK4" s="98">
        <f>AVERAGE(AJ4:AJ18)</f>
        <v>15.889174649530299</v>
      </c>
      <c r="AL4" s="98">
        <v>15</v>
      </c>
      <c r="AM4" s="97">
        <f>(1.86668*(15-2))/15</f>
        <v>1.6177893333333333</v>
      </c>
      <c r="AN4" s="35"/>
      <c r="AO4" s="92" t="s">
        <v>10</v>
      </c>
      <c r="AP4" s="34">
        <f>AP3/AM4</f>
        <v>3.9258804380658888E-2</v>
      </c>
    </row>
    <row r="5" spans="1:42" ht="15" thickBot="1" x14ac:dyDescent="0.35">
      <c r="A5" s="1"/>
      <c r="B5" s="48" t="s">
        <v>29</v>
      </c>
      <c r="C5" s="82">
        <v>0.2</v>
      </c>
      <c r="D5" s="78">
        <v>1</v>
      </c>
      <c r="E5" s="78">
        <v>0.2</v>
      </c>
      <c r="F5" s="78">
        <v>0.14000000000000001</v>
      </c>
      <c r="G5" s="78">
        <v>1</v>
      </c>
      <c r="H5" s="78">
        <v>1</v>
      </c>
      <c r="I5" s="78">
        <v>0.2</v>
      </c>
      <c r="J5" s="78">
        <v>1</v>
      </c>
      <c r="K5" s="78">
        <v>0.2</v>
      </c>
      <c r="L5" s="78">
        <v>0.14000000000000001</v>
      </c>
      <c r="M5" s="78">
        <v>0.11</v>
      </c>
      <c r="N5" s="78">
        <v>1</v>
      </c>
      <c r="O5" s="78">
        <v>0.2</v>
      </c>
      <c r="P5" s="78">
        <v>0.2</v>
      </c>
      <c r="Q5" s="83">
        <v>0.2</v>
      </c>
      <c r="R5" s="36">
        <f t="shared" ref="R5:R18" si="1">C5/C$19</f>
        <v>8.0000000000000002E-3</v>
      </c>
      <c r="S5" s="36">
        <f t="shared" ref="S5:S18" si="2">D5/D$19</f>
        <v>1.5873015873015872E-2</v>
      </c>
      <c r="T5" s="36">
        <f t="shared" ref="T5:T18" si="3">E5/E$19</f>
        <v>8.0000000000000002E-3</v>
      </c>
      <c r="U5" s="36">
        <f t="shared" ref="U5:U18" si="4">F5/F$19</f>
        <v>1.9363762102351315E-2</v>
      </c>
      <c r="V5" s="36">
        <f t="shared" ref="V5:V18" si="5">G5/G$19</f>
        <v>1.5873015873015872E-2</v>
      </c>
      <c r="W5" s="36">
        <f t="shared" ref="W5:W18" si="6">H5/H$19</f>
        <v>1.5873015873015872E-2</v>
      </c>
      <c r="X5" s="36">
        <f t="shared" ref="X5:X18" si="7">I5/I$19</f>
        <v>1.5408320493066256E-2</v>
      </c>
      <c r="Y5" s="36">
        <f t="shared" ref="Y5:Y18" si="8">J5/J$19</f>
        <v>1.5873015873015872E-2</v>
      </c>
      <c r="Z5" s="36">
        <f t="shared" ref="Z5:Z18" si="9">K5/K$19</f>
        <v>8.0000000000000002E-3</v>
      </c>
      <c r="AA5" s="36">
        <f t="shared" ref="AA5:AA18" si="10">L5/L$19</f>
        <v>1.9363762102351315E-2</v>
      </c>
      <c r="AB5" s="36">
        <f t="shared" ref="AB5:AB18" si="11">M5/M$19</f>
        <v>2.9411764705882349E-2</v>
      </c>
      <c r="AC5" s="36">
        <f t="shared" ref="AC5:AC18" si="12">N5/N$19</f>
        <v>1.5873015873015872E-2</v>
      </c>
      <c r="AD5" s="36">
        <f t="shared" ref="AD5:AD18" si="13">O5/O$19</f>
        <v>8.0000000000000002E-3</v>
      </c>
      <c r="AE5" s="36">
        <f t="shared" ref="AE5:AE18" si="14">P5/P$19</f>
        <v>8.0000000000000002E-3</v>
      </c>
      <c r="AF5" s="36">
        <f t="shared" ref="AF5:AF18" si="15">Q5/Q$19</f>
        <v>8.0000000000000002E-3</v>
      </c>
      <c r="AG5" s="39">
        <f t="shared" ref="AG5:AG18" si="16">AVERAGE(R5:AF5)</f>
        <v>1.4060845917915376E-2</v>
      </c>
      <c r="AH5" s="1"/>
      <c r="AI5" s="96">
        <f t="shared" ref="AI5:AI18" si="17">SUMPRODUCT(C5:Q5,$C$20:$Q$20)</f>
        <v>0.21797506271499228</v>
      </c>
      <c r="AJ5" s="97">
        <f>AI5/AG5</f>
        <v>15.502272337488831</v>
      </c>
      <c r="AK5" s="35"/>
      <c r="AL5" s="35"/>
      <c r="AM5" s="35"/>
      <c r="AN5" s="35"/>
      <c r="AO5" s="35"/>
      <c r="AP5" s="35"/>
    </row>
    <row r="6" spans="1:42" ht="15" thickBot="1" x14ac:dyDescent="0.35">
      <c r="A6" s="1"/>
      <c r="B6" s="49" t="s">
        <v>18</v>
      </c>
      <c r="C6" s="82">
        <v>1</v>
      </c>
      <c r="D6" s="78">
        <v>5</v>
      </c>
      <c r="E6" s="78">
        <v>1</v>
      </c>
      <c r="F6" s="78">
        <v>0.2</v>
      </c>
      <c r="G6" s="78">
        <v>5</v>
      </c>
      <c r="H6" s="78">
        <v>5</v>
      </c>
      <c r="I6" s="78">
        <v>0.33</v>
      </c>
      <c r="J6" s="78">
        <v>5</v>
      </c>
      <c r="K6" s="78">
        <v>1</v>
      </c>
      <c r="L6" s="78">
        <v>0.2</v>
      </c>
      <c r="M6" s="78">
        <v>0.2</v>
      </c>
      <c r="N6" s="78">
        <v>5</v>
      </c>
      <c r="O6" s="78">
        <v>1</v>
      </c>
      <c r="P6" s="78">
        <v>1</v>
      </c>
      <c r="Q6" s="83">
        <v>1</v>
      </c>
      <c r="R6" s="36">
        <f t="shared" si="1"/>
        <v>0.04</v>
      </c>
      <c r="S6" s="36">
        <f t="shared" si="2"/>
        <v>7.9365079365079361E-2</v>
      </c>
      <c r="T6" s="36">
        <f t="shared" si="3"/>
        <v>0.04</v>
      </c>
      <c r="U6" s="36">
        <f t="shared" si="4"/>
        <v>2.7662517289073305E-2</v>
      </c>
      <c r="V6" s="36">
        <f t="shared" si="5"/>
        <v>7.9365079365079361E-2</v>
      </c>
      <c r="W6" s="36">
        <f t="shared" si="6"/>
        <v>7.9365079365079361E-2</v>
      </c>
      <c r="X6" s="36">
        <f t="shared" si="7"/>
        <v>2.5423728813559324E-2</v>
      </c>
      <c r="Y6" s="36">
        <f t="shared" si="8"/>
        <v>7.9365079365079361E-2</v>
      </c>
      <c r="Z6" s="36">
        <f t="shared" si="9"/>
        <v>0.04</v>
      </c>
      <c r="AA6" s="36">
        <f t="shared" si="10"/>
        <v>2.7662517289073305E-2</v>
      </c>
      <c r="AB6" s="36">
        <f t="shared" si="11"/>
        <v>5.3475935828876997E-2</v>
      </c>
      <c r="AC6" s="36">
        <f t="shared" si="12"/>
        <v>7.9365079365079361E-2</v>
      </c>
      <c r="AD6" s="36">
        <f t="shared" si="13"/>
        <v>0.04</v>
      </c>
      <c r="AE6" s="36">
        <f t="shared" si="14"/>
        <v>0.04</v>
      </c>
      <c r="AF6" s="36">
        <f t="shared" si="15"/>
        <v>0.04</v>
      </c>
      <c r="AG6" s="39">
        <f t="shared" si="16"/>
        <v>5.1403339736398657E-2</v>
      </c>
      <c r="AH6" s="1"/>
      <c r="AI6" s="96">
        <f t="shared" si="17"/>
        <v>0.79609903396868931</v>
      </c>
      <c r="AJ6" s="97">
        <f t="shared" ref="AJ6:AJ18" si="18">AI6/AG6</f>
        <v>15.48730175998608</v>
      </c>
      <c r="AK6" s="90"/>
      <c r="AL6" s="90"/>
      <c r="AM6" s="90"/>
      <c r="AN6" s="35"/>
      <c r="AO6" s="1"/>
      <c r="AP6" s="35"/>
    </row>
    <row r="7" spans="1:42" ht="15" thickBot="1" x14ac:dyDescent="0.35">
      <c r="A7" s="1"/>
      <c r="B7" s="50" t="s">
        <v>24</v>
      </c>
      <c r="C7" s="82">
        <v>5</v>
      </c>
      <c r="D7" s="78">
        <v>7</v>
      </c>
      <c r="E7" s="78">
        <v>5</v>
      </c>
      <c r="F7" s="78">
        <v>1</v>
      </c>
      <c r="G7" s="78">
        <v>7</v>
      </c>
      <c r="H7" s="78">
        <v>7</v>
      </c>
      <c r="I7" s="78">
        <v>3</v>
      </c>
      <c r="J7" s="78">
        <v>7</v>
      </c>
      <c r="K7" s="78">
        <v>5</v>
      </c>
      <c r="L7" s="78">
        <v>1</v>
      </c>
      <c r="M7" s="78">
        <v>0.33</v>
      </c>
      <c r="N7" s="78">
        <v>7</v>
      </c>
      <c r="O7" s="78">
        <v>5</v>
      </c>
      <c r="P7" s="78">
        <v>5</v>
      </c>
      <c r="Q7" s="83">
        <v>5</v>
      </c>
      <c r="R7" s="36">
        <f t="shared" si="1"/>
        <v>0.2</v>
      </c>
      <c r="S7" s="36">
        <f t="shared" si="2"/>
        <v>0.1111111111111111</v>
      </c>
      <c r="T7" s="36">
        <f t="shared" si="3"/>
        <v>0.2</v>
      </c>
      <c r="U7" s="36">
        <f t="shared" si="4"/>
        <v>0.13831258644536651</v>
      </c>
      <c r="V7" s="36">
        <f t="shared" si="5"/>
        <v>0.1111111111111111</v>
      </c>
      <c r="W7" s="36">
        <f t="shared" si="6"/>
        <v>0.1111111111111111</v>
      </c>
      <c r="X7" s="36">
        <f t="shared" si="7"/>
        <v>0.23112480739599384</v>
      </c>
      <c r="Y7" s="36">
        <f t="shared" si="8"/>
        <v>0.1111111111111111</v>
      </c>
      <c r="Z7" s="36">
        <f t="shared" si="9"/>
        <v>0.2</v>
      </c>
      <c r="AA7" s="36">
        <f t="shared" si="10"/>
        <v>0.13831258644536651</v>
      </c>
      <c r="AB7" s="36">
        <f t="shared" si="11"/>
        <v>8.8235294117647051E-2</v>
      </c>
      <c r="AC7" s="36">
        <f t="shared" si="12"/>
        <v>0.1111111111111111</v>
      </c>
      <c r="AD7" s="36">
        <f t="shared" si="13"/>
        <v>0.2</v>
      </c>
      <c r="AE7" s="36">
        <f t="shared" si="14"/>
        <v>0.2</v>
      </c>
      <c r="AF7" s="36">
        <f t="shared" si="15"/>
        <v>0.2</v>
      </c>
      <c r="AG7" s="39">
        <f t="shared" si="16"/>
        <v>0.15676938866399531</v>
      </c>
      <c r="AH7" s="1"/>
      <c r="AI7" s="96">
        <f t="shared" si="17"/>
        <v>2.6937849424684144</v>
      </c>
      <c r="AJ7" s="97">
        <f t="shared" si="18"/>
        <v>17.183105486505521</v>
      </c>
      <c r="AK7" s="90"/>
      <c r="AL7" s="90"/>
      <c r="AM7" s="90"/>
      <c r="AN7" s="1"/>
      <c r="AO7" s="1"/>
      <c r="AP7" s="35"/>
    </row>
    <row r="8" spans="1:42" ht="15" thickBot="1" x14ac:dyDescent="0.35">
      <c r="A8" s="1"/>
      <c r="B8" s="50" t="s">
        <v>31</v>
      </c>
      <c r="C8" s="82">
        <v>0.2</v>
      </c>
      <c r="D8" s="78">
        <v>1</v>
      </c>
      <c r="E8" s="78">
        <v>0.2</v>
      </c>
      <c r="F8" s="78">
        <v>0.14000000000000001</v>
      </c>
      <c r="G8" s="78">
        <v>1</v>
      </c>
      <c r="H8" s="78">
        <v>1</v>
      </c>
      <c r="I8" s="78">
        <v>0.2</v>
      </c>
      <c r="J8" s="78">
        <v>1</v>
      </c>
      <c r="K8" s="78">
        <v>0.2</v>
      </c>
      <c r="L8" s="78">
        <v>0.14000000000000001</v>
      </c>
      <c r="M8" s="78">
        <v>0.11</v>
      </c>
      <c r="N8" s="78">
        <v>1</v>
      </c>
      <c r="O8" s="78">
        <v>0.2</v>
      </c>
      <c r="P8" s="78">
        <v>0.2</v>
      </c>
      <c r="Q8" s="83">
        <v>0.2</v>
      </c>
      <c r="R8" s="36">
        <f t="shared" si="1"/>
        <v>8.0000000000000002E-3</v>
      </c>
      <c r="S8" s="36">
        <f t="shared" si="2"/>
        <v>1.5873015873015872E-2</v>
      </c>
      <c r="T8" s="36">
        <f t="shared" si="3"/>
        <v>8.0000000000000002E-3</v>
      </c>
      <c r="U8" s="36">
        <f t="shared" si="4"/>
        <v>1.9363762102351315E-2</v>
      </c>
      <c r="V8" s="36">
        <f t="shared" si="5"/>
        <v>1.5873015873015872E-2</v>
      </c>
      <c r="W8" s="36">
        <f t="shared" si="6"/>
        <v>1.5873015873015872E-2</v>
      </c>
      <c r="X8" s="36">
        <f t="shared" si="7"/>
        <v>1.5408320493066256E-2</v>
      </c>
      <c r="Y8" s="36">
        <f t="shared" si="8"/>
        <v>1.5873015873015872E-2</v>
      </c>
      <c r="Z8" s="36">
        <f t="shared" si="9"/>
        <v>8.0000000000000002E-3</v>
      </c>
      <c r="AA8" s="36">
        <f t="shared" si="10"/>
        <v>1.9363762102351315E-2</v>
      </c>
      <c r="AB8" s="36">
        <f t="shared" si="11"/>
        <v>2.9411764705882349E-2</v>
      </c>
      <c r="AC8" s="36">
        <f t="shared" si="12"/>
        <v>1.5873015873015872E-2</v>
      </c>
      <c r="AD8" s="36">
        <f t="shared" si="13"/>
        <v>8.0000000000000002E-3</v>
      </c>
      <c r="AE8" s="36">
        <f t="shared" si="14"/>
        <v>8.0000000000000002E-3</v>
      </c>
      <c r="AF8" s="36">
        <f t="shared" si="15"/>
        <v>8.0000000000000002E-3</v>
      </c>
      <c r="AG8" s="39">
        <f t="shared" si="16"/>
        <v>1.4060845917915376E-2</v>
      </c>
      <c r="AH8" s="1"/>
      <c r="AI8" s="96">
        <f t="shared" si="17"/>
        <v>0.21797506271499228</v>
      </c>
      <c r="AJ8" s="97">
        <f t="shared" si="18"/>
        <v>15.502272337488831</v>
      </c>
      <c r="AK8" s="90"/>
      <c r="AL8" s="90"/>
      <c r="AM8" s="90"/>
      <c r="AN8" s="1"/>
      <c r="AO8" s="35"/>
      <c r="AP8" s="35"/>
    </row>
    <row r="9" spans="1:42" ht="15" thickBot="1" x14ac:dyDescent="0.35">
      <c r="A9" s="1"/>
      <c r="B9" s="48" t="s">
        <v>25</v>
      </c>
      <c r="C9" s="82">
        <v>0.2</v>
      </c>
      <c r="D9" s="78">
        <v>1</v>
      </c>
      <c r="E9" s="78">
        <v>0.2</v>
      </c>
      <c r="F9" s="78">
        <v>0.14000000000000001</v>
      </c>
      <c r="G9" s="78">
        <v>1</v>
      </c>
      <c r="H9" s="78">
        <v>1</v>
      </c>
      <c r="I9" s="78">
        <v>0.2</v>
      </c>
      <c r="J9" s="78">
        <v>1</v>
      </c>
      <c r="K9" s="78">
        <v>0.2</v>
      </c>
      <c r="L9" s="78">
        <v>0.14000000000000001</v>
      </c>
      <c r="M9" s="78">
        <v>0.11</v>
      </c>
      <c r="N9" s="78">
        <v>1</v>
      </c>
      <c r="O9" s="78">
        <v>0.2</v>
      </c>
      <c r="P9" s="78">
        <v>0.2</v>
      </c>
      <c r="Q9" s="83">
        <v>0.2</v>
      </c>
      <c r="R9" s="36">
        <f t="shared" si="1"/>
        <v>8.0000000000000002E-3</v>
      </c>
      <c r="S9" s="36">
        <f t="shared" si="2"/>
        <v>1.5873015873015872E-2</v>
      </c>
      <c r="T9" s="36">
        <f t="shared" si="3"/>
        <v>8.0000000000000002E-3</v>
      </c>
      <c r="U9" s="36">
        <f t="shared" si="4"/>
        <v>1.9363762102351315E-2</v>
      </c>
      <c r="V9" s="36">
        <f t="shared" si="5"/>
        <v>1.5873015873015872E-2</v>
      </c>
      <c r="W9" s="36">
        <f t="shared" si="6"/>
        <v>1.5873015873015872E-2</v>
      </c>
      <c r="X9" s="36">
        <f t="shared" si="7"/>
        <v>1.5408320493066256E-2</v>
      </c>
      <c r="Y9" s="36">
        <f t="shared" si="8"/>
        <v>1.5873015873015872E-2</v>
      </c>
      <c r="Z9" s="36">
        <f t="shared" si="9"/>
        <v>8.0000000000000002E-3</v>
      </c>
      <c r="AA9" s="36">
        <f t="shared" si="10"/>
        <v>1.9363762102351315E-2</v>
      </c>
      <c r="AB9" s="36">
        <f t="shared" si="11"/>
        <v>2.9411764705882349E-2</v>
      </c>
      <c r="AC9" s="36">
        <f t="shared" si="12"/>
        <v>1.5873015873015872E-2</v>
      </c>
      <c r="AD9" s="36">
        <f t="shared" si="13"/>
        <v>8.0000000000000002E-3</v>
      </c>
      <c r="AE9" s="36">
        <f t="shared" si="14"/>
        <v>8.0000000000000002E-3</v>
      </c>
      <c r="AF9" s="36">
        <f t="shared" si="15"/>
        <v>8.0000000000000002E-3</v>
      </c>
      <c r="AG9" s="39">
        <f t="shared" si="16"/>
        <v>1.4060845917915376E-2</v>
      </c>
      <c r="AH9" s="1"/>
      <c r="AI9" s="96">
        <f t="shared" si="17"/>
        <v>0.21797506271499228</v>
      </c>
      <c r="AJ9" s="97">
        <f t="shared" si="18"/>
        <v>15.502272337488831</v>
      </c>
    </row>
    <row r="10" spans="1:42" ht="15" thickBot="1" x14ac:dyDescent="0.35">
      <c r="A10" s="1"/>
      <c r="B10" s="48" t="s">
        <v>27</v>
      </c>
      <c r="C10" s="82">
        <v>3</v>
      </c>
      <c r="D10" s="78">
        <v>5</v>
      </c>
      <c r="E10" s="78">
        <v>3</v>
      </c>
      <c r="F10" s="78">
        <v>0.33</v>
      </c>
      <c r="G10" s="78">
        <v>5</v>
      </c>
      <c r="H10" s="78">
        <v>5</v>
      </c>
      <c r="I10" s="78">
        <v>1</v>
      </c>
      <c r="J10" s="78">
        <v>5</v>
      </c>
      <c r="K10" s="78">
        <v>3</v>
      </c>
      <c r="L10" s="78">
        <v>0.33</v>
      </c>
      <c r="M10" s="78">
        <v>0.33</v>
      </c>
      <c r="N10" s="78">
        <v>5</v>
      </c>
      <c r="O10" s="78">
        <v>3</v>
      </c>
      <c r="P10" s="78">
        <v>3</v>
      </c>
      <c r="Q10" s="83">
        <v>3</v>
      </c>
      <c r="R10" s="36">
        <f t="shared" si="1"/>
        <v>0.12</v>
      </c>
      <c r="S10" s="36">
        <f t="shared" si="2"/>
        <v>7.9365079365079361E-2</v>
      </c>
      <c r="T10" s="36">
        <f t="shared" si="3"/>
        <v>0.12</v>
      </c>
      <c r="U10" s="36">
        <f t="shared" si="4"/>
        <v>4.5643153526970952E-2</v>
      </c>
      <c r="V10" s="36">
        <f t="shared" si="5"/>
        <v>7.9365079365079361E-2</v>
      </c>
      <c r="W10" s="36">
        <f t="shared" si="6"/>
        <v>7.9365079365079361E-2</v>
      </c>
      <c r="X10" s="36">
        <f t="shared" si="7"/>
        <v>7.7041602465331274E-2</v>
      </c>
      <c r="Y10" s="36">
        <f t="shared" si="8"/>
        <v>7.9365079365079361E-2</v>
      </c>
      <c r="Z10" s="36">
        <f t="shared" si="9"/>
        <v>0.12</v>
      </c>
      <c r="AA10" s="36">
        <f t="shared" si="10"/>
        <v>4.5643153526970952E-2</v>
      </c>
      <c r="AB10" s="36">
        <f t="shared" si="11"/>
        <v>8.8235294117647051E-2</v>
      </c>
      <c r="AC10" s="36">
        <f t="shared" si="12"/>
        <v>7.9365079365079361E-2</v>
      </c>
      <c r="AD10" s="36">
        <f t="shared" si="13"/>
        <v>0.12</v>
      </c>
      <c r="AE10" s="36">
        <f t="shared" si="14"/>
        <v>0.12</v>
      </c>
      <c r="AF10" s="36">
        <f t="shared" si="15"/>
        <v>0.12</v>
      </c>
      <c r="AG10" s="39">
        <f t="shared" si="16"/>
        <v>9.1559240030821165E-2</v>
      </c>
      <c r="AH10" s="1"/>
      <c r="AI10" s="96">
        <f t="shared" si="17"/>
        <v>1.5431469455810807</v>
      </c>
      <c r="AJ10" s="97">
        <f t="shared" si="18"/>
        <v>16.854082068195609</v>
      </c>
    </row>
    <row r="11" spans="1:42" ht="15" thickBot="1" x14ac:dyDescent="0.35">
      <c r="A11" s="1"/>
      <c r="B11" s="50" t="s">
        <v>20</v>
      </c>
      <c r="C11" s="82">
        <v>0.2</v>
      </c>
      <c r="D11" s="78">
        <v>1</v>
      </c>
      <c r="E11" s="78">
        <v>0.2</v>
      </c>
      <c r="F11" s="78">
        <v>0.14000000000000001</v>
      </c>
      <c r="G11" s="78">
        <v>1</v>
      </c>
      <c r="H11" s="78">
        <v>1</v>
      </c>
      <c r="I11" s="78">
        <v>0.2</v>
      </c>
      <c r="J11" s="78">
        <v>1</v>
      </c>
      <c r="K11" s="78">
        <v>0.2</v>
      </c>
      <c r="L11" s="78">
        <v>0.14000000000000001</v>
      </c>
      <c r="M11" s="78">
        <v>0.11</v>
      </c>
      <c r="N11" s="78">
        <v>1</v>
      </c>
      <c r="O11" s="78">
        <v>0.2</v>
      </c>
      <c r="P11" s="78">
        <v>0.2</v>
      </c>
      <c r="Q11" s="83">
        <v>0.2</v>
      </c>
      <c r="R11" s="36">
        <f t="shared" si="1"/>
        <v>8.0000000000000002E-3</v>
      </c>
      <c r="S11" s="36">
        <f t="shared" si="2"/>
        <v>1.5873015873015872E-2</v>
      </c>
      <c r="T11" s="36">
        <f t="shared" si="3"/>
        <v>8.0000000000000002E-3</v>
      </c>
      <c r="U11" s="36">
        <f t="shared" si="4"/>
        <v>1.9363762102351315E-2</v>
      </c>
      <c r="V11" s="36">
        <f t="shared" si="5"/>
        <v>1.5873015873015872E-2</v>
      </c>
      <c r="W11" s="36">
        <f t="shared" si="6"/>
        <v>1.5873015873015872E-2</v>
      </c>
      <c r="X11" s="36">
        <f t="shared" si="7"/>
        <v>1.5408320493066256E-2</v>
      </c>
      <c r="Y11" s="36">
        <f t="shared" si="8"/>
        <v>1.5873015873015872E-2</v>
      </c>
      <c r="Z11" s="36">
        <f t="shared" si="9"/>
        <v>8.0000000000000002E-3</v>
      </c>
      <c r="AA11" s="36">
        <f t="shared" si="10"/>
        <v>1.9363762102351315E-2</v>
      </c>
      <c r="AB11" s="36">
        <f t="shared" si="11"/>
        <v>2.9411764705882349E-2</v>
      </c>
      <c r="AC11" s="36">
        <f t="shared" si="12"/>
        <v>1.5873015873015872E-2</v>
      </c>
      <c r="AD11" s="36">
        <f t="shared" si="13"/>
        <v>8.0000000000000002E-3</v>
      </c>
      <c r="AE11" s="36">
        <f t="shared" si="14"/>
        <v>8.0000000000000002E-3</v>
      </c>
      <c r="AF11" s="36">
        <f t="shared" si="15"/>
        <v>8.0000000000000002E-3</v>
      </c>
      <c r="AG11" s="39">
        <f t="shared" si="16"/>
        <v>1.4060845917915376E-2</v>
      </c>
      <c r="AH11" s="1"/>
      <c r="AI11" s="96">
        <f t="shared" si="17"/>
        <v>0.21797506271499228</v>
      </c>
      <c r="AJ11" s="97">
        <f t="shared" si="18"/>
        <v>15.502272337488831</v>
      </c>
    </row>
    <row r="12" spans="1:42" ht="15" thickBot="1" x14ac:dyDescent="0.35">
      <c r="A12" s="1"/>
      <c r="B12" s="48" t="s">
        <v>19</v>
      </c>
      <c r="C12" s="82">
        <v>1</v>
      </c>
      <c r="D12" s="78">
        <v>5</v>
      </c>
      <c r="E12" s="78">
        <v>1</v>
      </c>
      <c r="F12" s="78">
        <v>0.2</v>
      </c>
      <c r="G12" s="78">
        <v>5</v>
      </c>
      <c r="H12" s="78">
        <v>5</v>
      </c>
      <c r="I12" s="78">
        <v>0.33</v>
      </c>
      <c r="J12" s="78">
        <v>5</v>
      </c>
      <c r="K12" s="78">
        <v>1</v>
      </c>
      <c r="L12" s="78">
        <v>0.2</v>
      </c>
      <c r="M12" s="78">
        <v>0.2</v>
      </c>
      <c r="N12" s="78">
        <v>5</v>
      </c>
      <c r="O12" s="78">
        <v>1</v>
      </c>
      <c r="P12" s="78">
        <v>1</v>
      </c>
      <c r="Q12" s="83">
        <v>1</v>
      </c>
      <c r="R12" s="36">
        <f t="shared" si="1"/>
        <v>0.04</v>
      </c>
      <c r="S12" s="36">
        <f t="shared" si="2"/>
        <v>7.9365079365079361E-2</v>
      </c>
      <c r="T12" s="36">
        <f t="shared" si="3"/>
        <v>0.04</v>
      </c>
      <c r="U12" s="36">
        <f t="shared" si="4"/>
        <v>2.7662517289073305E-2</v>
      </c>
      <c r="V12" s="36">
        <f t="shared" si="5"/>
        <v>7.9365079365079361E-2</v>
      </c>
      <c r="W12" s="36">
        <f t="shared" si="6"/>
        <v>7.9365079365079361E-2</v>
      </c>
      <c r="X12" s="36">
        <f t="shared" si="7"/>
        <v>2.5423728813559324E-2</v>
      </c>
      <c r="Y12" s="36">
        <f t="shared" si="8"/>
        <v>7.9365079365079361E-2</v>
      </c>
      <c r="Z12" s="36">
        <f t="shared" si="9"/>
        <v>0.04</v>
      </c>
      <c r="AA12" s="36">
        <f t="shared" si="10"/>
        <v>2.7662517289073305E-2</v>
      </c>
      <c r="AB12" s="36">
        <f t="shared" si="11"/>
        <v>5.3475935828876997E-2</v>
      </c>
      <c r="AC12" s="36">
        <f t="shared" si="12"/>
        <v>7.9365079365079361E-2</v>
      </c>
      <c r="AD12" s="36">
        <f t="shared" si="13"/>
        <v>0.04</v>
      </c>
      <c r="AE12" s="36">
        <f t="shared" si="14"/>
        <v>0.04</v>
      </c>
      <c r="AF12" s="36">
        <f t="shared" si="15"/>
        <v>0.04</v>
      </c>
      <c r="AG12" s="39">
        <f t="shared" si="16"/>
        <v>5.1403339736398657E-2</v>
      </c>
      <c r="AH12" s="1"/>
      <c r="AI12" s="96">
        <f t="shared" si="17"/>
        <v>0.79609903396868931</v>
      </c>
      <c r="AJ12" s="97">
        <f t="shared" si="18"/>
        <v>15.48730175998608</v>
      </c>
    </row>
    <row r="13" spans="1:42" ht="15" thickBot="1" x14ac:dyDescent="0.35">
      <c r="A13" s="1"/>
      <c r="B13" s="50" t="s">
        <v>32</v>
      </c>
      <c r="C13" s="82">
        <v>5</v>
      </c>
      <c r="D13" s="78">
        <v>7</v>
      </c>
      <c r="E13" s="78">
        <v>5</v>
      </c>
      <c r="F13" s="78">
        <v>1</v>
      </c>
      <c r="G13" s="78">
        <v>7</v>
      </c>
      <c r="H13" s="78">
        <v>7</v>
      </c>
      <c r="I13" s="78">
        <v>3</v>
      </c>
      <c r="J13" s="78">
        <v>7</v>
      </c>
      <c r="K13" s="78">
        <v>5</v>
      </c>
      <c r="L13" s="78">
        <v>1</v>
      </c>
      <c r="M13" s="78">
        <v>0.33</v>
      </c>
      <c r="N13" s="78">
        <v>7</v>
      </c>
      <c r="O13" s="78">
        <v>5</v>
      </c>
      <c r="P13" s="78">
        <v>5</v>
      </c>
      <c r="Q13" s="83">
        <v>5</v>
      </c>
      <c r="R13" s="36">
        <f t="shared" si="1"/>
        <v>0.2</v>
      </c>
      <c r="S13" s="36">
        <f t="shared" si="2"/>
        <v>0.1111111111111111</v>
      </c>
      <c r="T13" s="36">
        <f t="shared" si="3"/>
        <v>0.2</v>
      </c>
      <c r="U13" s="36">
        <f t="shared" si="4"/>
        <v>0.13831258644536651</v>
      </c>
      <c r="V13" s="36">
        <f t="shared" si="5"/>
        <v>0.1111111111111111</v>
      </c>
      <c r="W13" s="36">
        <f t="shared" si="6"/>
        <v>0.1111111111111111</v>
      </c>
      <c r="X13" s="36">
        <f t="shared" si="7"/>
        <v>0.23112480739599384</v>
      </c>
      <c r="Y13" s="36">
        <f t="shared" si="8"/>
        <v>0.1111111111111111</v>
      </c>
      <c r="Z13" s="36">
        <f t="shared" si="9"/>
        <v>0.2</v>
      </c>
      <c r="AA13" s="36">
        <f t="shared" si="10"/>
        <v>0.13831258644536651</v>
      </c>
      <c r="AB13" s="36">
        <f t="shared" si="11"/>
        <v>8.8235294117647051E-2</v>
      </c>
      <c r="AC13" s="36">
        <f t="shared" si="12"/>
        <v>0.1111111111111111</v>
      </c>
      <c r="AD13" s="36">
        <f t="shared" si="13"/>
        <v>0.2</v>
      </c>
      <c r="AE13" s="36">
        <f t="shared" si="14"/>
        <v>0.2</v>
      </c>
      <c r="AF13" s="36">
        <f t="shared" si="15"/>
        <v>0.2</v>
      </c>
      <c r="AG13" s="39">
        <f t="shared" si="16"/>
        <v>0.15676938866399531</v>
      </c>
      <c r="AH13" s="1"/>
      <c r="AI13" s="96">
        <f t="shared" si="17"/>
        <v>2.6937849424684144</v>
      </c>
      <c r="AJ13" s="97">
        <f t="shared" si="18"/>
        <v>17.183105486505521</v>
      </c>
    </row>
    <row r="14" spans="1:42" ht="15" thickBot="1" x14ac:dyDescent="0.35">
      <c r="A14" s="1"/>
      <c r="B14" s="50" t="s">
        <v>26</v>
      </c>
      <c r="C14" s="82">
        <v>5</v>
      </c>
      <c r="D14" s="78">
        <v>9</v>
      </c>
      <c r="E14" s="78">
        <v>5</v>
      </c>
      <c r="F14" s="78">
        <v>3</v>
      </c>
      <c r="G14" s="78">
        <v>9</v>
      </c>
      <c r="H14" s="78">
        <v>9</v>
      </c>
      <c r="I14" s="78">
        <v>3</v>
      </c>
      <c r="J14" s="78">
        <v>9</v>
      </c>
      <c r="K14" s="78">
        <v>5</v>
      </c>
      <c r="L14" s="78">
        <v>3</v>
      </c>
      <c r="M14" s="78">
        <v>1</v>
      </c>
      <c r="N14" s="78">
        <v>9</v>
      </c>
      <c r="O14" s="78">
        <v>5</v>
      </c>
      <c r="P14" s="78">
        <v>5</v>
      </c>
      <c r="Q14" s="83">
        <v>5</v>
      </c>
      <c r="R14" s="36">
        <f t="shared" si="1"/>
        <v>0.2</v>
      </c>
      <c r="S14" s="36">
        <f t="shared" si="2"/>
        <v>0.14285714285714285</v>
      </c>
      <c r="T14" s="36">
        <f t="shared" si="3"/>
        <v>0.2</v>
      </c>
      <c r="U14" s="36">
        <f t="shared" si="4"/>
        <v>0.41493775933609955</v>
      </c>
      <c r="V14" s="36">
        <f t="shared" si="5"/>
        <v>0.14285714285714285</v>
      </c>
      <c r="W14" s="36">
        <f t="shared" si="6"/>
        <v>0.14285714285714285</v>
      </c>
      <c r="X14" s="36">
        <f t="shared" si="7"/>
        <v>0.23112480739599384</v>
      </c>
      <c r="Y14" s="36">
        <f t="shared" si="8"/>
        <v>0.14285714285714285</v>
      </c>
      <c r="Z14" s="36">
        <f t="shared" si="9"/>
        <v>0.2</v>
      </c>
      <c r="AA14" s="36">
        <f t="shared" si="10"/>
        <v>0.41493775933609955</v>
      </c>
      <c r="AB14" s="36">
        <f t="shared" si="11"/>
        <v>0.26737967914438499</v>
      </c>
      <c r="AC14" s="36">
        <f t="shared" si="12"/>
        <v>0.14285714285714285</v>
      </c>
      <c r="AD14" s="36">
        <f t="shared" si="13"/>
        <v>0.2</v>
      </c>
      <c r="AE14" s="36">
        <f t="shared" si="14"/>
        <v>0.2</v>
      </c>
      <c r="AF14" s="36">
        <f t="shared" si="15"/>
        <v>0.2</v>
      </c>
      <c r="AG14" s="39">
        <f t="shared" si="16"/>
        <v>0.21617771463321953</v>
      </c>
      <c r="AH14" s="1"/>
      <c r="AI14" s="96">
        <f t="shared" si="17"/>
        <v>3.6063100251078062</v>
      </c>
      <c r="AJ14" s="97">
        <f t="shared" si="18"/>
        <v>16.682154454387192</v>
      </c>
    </row>
    <row r="15" spans="1:42" ht="15" thickBot="1" x14ac:dyDescent="0.35">
      <c r="A15" s="1"/>
      <c r="B15" s="48" t="s">
        <v>30</v>
      </c>
      <c r="C15" s="82">
        <v>0.2</v>
      </c>
      <c r="D15" s="78">
        <v>1</v>
      </c>
      <c r="E15" s="78">
        <v>0.2</v>
      </c>
      <c r="F15" s="78">
        <v>0.14000000000000001</v>
      </c>
      <c r="G15" s="78">
        <v>1</v>
      </c>
      <c r="H15" s="78">
        <v>1</v>
      </c>
      <c r="I15" s="78">
        <v>0.2</v>
      </c>
      <c r="J15" s="78">
        <v>1</v>
      </c>
      <c r="K15" s="78">
        <v>0.2</v>
      </c>
      <c r="L15" s="78">
        <v>0.14000000000000001</v>
      </c>
      <c r="M15" s="78">
        <v>0.11</v>
      </c>
      <c r="N15" s="78">
        <v>1</v>
      </c>
      <c r="O15" s="78">
        <v>0.2</v>
      </c>
      <c r="P15" s="78">
        <v>0.2</v>
      </c>
      <c r="Q15" s="83">
        <v>0.2</v>
      </c>
      <c r="R15" s="36">
        <f t="shared" si="1"/>
        <v>8.0000000000000002E-3</v>
      </c>
      <c r="S15" s="36">
        <f t="shared" si="2"/>
        <v>1.5873015873015872E-2</v>
      </c>
      <c r="T15" s="36">
        <f t="shared" si="3"/>
        <v>8.0000000000000002E-3</v>
      </c>
      <c r="U15" s="36">
        <f t="shared" si="4"/>
        <v>1.9363762102351315E-2</v>
      </c>
      <c r="V15" s="36">
        <f t="shared" si="5"/>
        <v>1.5873015873015872E-2</v>
      </c>
      <c r="W15" s="36">
        <f t="shared" si="6"/>
        <v>1.5873015873015872E-2</v>
      </c>
      <c r="X15" s="36">
        <f t="shared" si="7"/>
        <v>1.5408320493066256E-2</v>
      </c>
      <c r="Y15" s="36">
        <f t="shared" si="8"/>
        <v>1.5873015873015872E-2</v>
      </c>
      <c r="Z15" s="36">
        <f t="shared" si="9"/>
        <v>8.0000000000000002E-3</v>
      </c>
      <c r="AA15" s="36">
        <f t="shared" si="10"/>
        <v>1.9363762102351315E-2</v>
      </c>
      <c r="AB15" s="36">
        <f t="shared" si="11"/>
        <v>2.9411764705882349E-2</v>
      </c>
      <c r="AC15" s="36">
        <f t="shared" si="12"/>
        <v>1.5873015873015872E-2</v>
      </c>
      <c r="AD15" s="36">
        <f t="shared" si="13"/>
        <v>8.0000000000000002E-3</v>
      </c>
      <c r="AE15" s="36">
        <f t="shared" si="14"/>
        <v>8.0000000000000002E-3</v>
      </c>
      <c r="AF15" s="36">
        <f t="shared" si="15"/>
        <v>8.0000000000000002E-3</v>
      </c>
      <c r="AG15" s="39">
        <f t="shared" si="16"/>
        <v>1.4060845917915376E-2</v>
      </c>
      <c r="AH15" s="1"/>
      <c r="AI15" s="96">
        <f t="shared" si="17"/>
        <v>0.21797506271499228</v>
      </c>
      <c r="AJ15" s="97">
        <f t="shared" si="18"/>
        <v>15.502272337488831</v>
      </c>
    </row>
    <row r="16" spans="1:42" ht="15" thickBot="1" x14ac:dyDescent="0.35">
      <c r="A16" s="1"/>
      <c r="B16" s="50" t="s">
        <v>28</v>
      </c>
      <c r="C16" s="82">
        <v>1</v>
      </c>
      <c r="D16" s="78">
        <v>5</v>
      </c>
      <c r="E16" s="78">
        <v>1</v>
      </c>
      <c r="F16" s="78">
        <v>0.2</v>
      </c>
      <c r="G16" s="78">
        <v>5</v>
      </c>
      <c r="H16" s="78">
        <v>5</v>
      </c>
      <c r="I16" s="78">
        <v>0.33</v>
      </c>
      <c r="J16" s="78">
        <v>5</v>
      </c>
      <c r="K16" s="78">
        <v>1</v>
      </c>
      <c r="L16" s="78">
        <v>0.2</v>
      </c>
      <c r="M16" s="78">
        <v>0.2</v>
      </c>
      <c r="N16" s="78">
        <v>5</v>
      </c>
      <c r="O16" s="78">
        <v>1</v>
      </c>
      <c r="P16" s="78">
        <v>1</v>
      </c>
      <c r="Q16" s="83">
        <v>1</v>
      </c>
      <c r="R16" s="36">
        <f t="shared" si="1"/>
        <v>0.04</v>
      </c>
      <c r="S16" s="36">
        <f t="shared" si="2"/>
        <v>7.9365079365079361E-2</v>
      </c>
      <c r="T16" s="36">
        <f t="shared" si="3"/>
        <v>0.04</v>
      </c>
      <c r="U16" s="36">
        <f t="shared" si="4"/>
        <v>2.7662517289073305E-2</v>
      </c>
      <c r="V16" s="36">
        <f t="shared" si="5"/>
        <v>7.9365079365079361E-2</v>
      </c>
      <c r="W16" s="36">
        <f t="shared" si="6"/>
        <v>7.9365079365079361E-2</v>
      </c>
      <c r="X16" s="36">
        <f t="shared" si="7"/>
        <v>2.5423728813559324E-2</v>
      </c>
      <c r="Y16" s="36">
        <f t="shared" si="8"/>
        <v>7.9365079365079361E-2</v>
      </c>
      <c r="Z16" s="36">
        <f t="shared" si="9"/>
        <v>0.04</v>
      </c>
      <c r="AA16" s="36">
        <f t="shared" si="10"/>
        <v>2.7662517289073305E-2</v>
      </c>
      <c r="AB16" s="36">
        <f t="shared" si="11"/>
        <v>5.3475935828876997E-2</v>
      </c>
      <c r="AC16" s="36">
        <f t="shared" si="12"/>
        <v>7.9365079365079361E-2</v>
      </c>
      <c r="AD16" s="36">
        <f t="shared" si="13"/>
        <v>0.04</v>
      </c>
      <c r="AE16" s="36">
        <f t="shared" si="14"/>
        <v>0.04</v>
      </c>
      <c r="AF16" s="36">
        <f t="shared" si="15"/>
        <v>0.04</v>
      </c>
      <c r="AG16" s="39">
        <f t="shared" si="16"/>
        <v>5.1403339736398657E-2</v>
      </c>
      <c r="AH16" s="1"/>
      <c r="AI16" s="96">
        <f t="shared" si="17"/>
        <v>0.79609903396868931</v>
      </c>
      <c r="AJ16" s="97">
        <f t="shared" si="18"/>
        <v>15.48730175998608</v>
      </c>
    </row>
    <row r="17" spans="1:36" ht="15" thickBot="1" x14ac:dyDescent="0.35">
      <c r="A17" s="1"/>
      <c r="B17" s="50" t="s">
        <v>23</v>
      </c>
      <c r="C17" s="82">
        <v>1</v>
      </c>
      <c r="D17" s="78">
        <v>5</v>
      </c>
      <c r="E17" s="78">
        <v>1</v>
      </c>
      <c r="F17" s="78">
        <v>0.2</v>
      </c>
      <c r="G17" s="78">
        <v>5</v>
      </c>
      <c r="H17" s="78">
        <v>5</v>
      </c>
      <c r="I17" s="78">
        <v>0.33</v>
      </c>
      <c r="J17" s="78">
        <v>5</v>
      </c>
      <c r="K17" s="78">
        <v>1</v>
      </c>
      <c r="L17" s="78">
        <v>0.2</v>
      </c>
      <c r="M17" s="78">
        <v>0.2</v>
      </c>
      <c r="N17" s="78">
        <v>5</v>
      </c>
      <c r="O17" s="78">
        <v>1</v>
      </c>
      <c r="P17" s="78">
        <v>1</v>
      </c>
      <c r="Q17" s="83">
        <v>1</v>
      </c>
      <c r="R17" s="36">
        <f t="shared" si="1"/>
        <v>0.04</v>
      </c>
      <c r="S17" s="36">
        <f t="shared" si="2"/>
        <v>7.9365079365079361E-2</v>
      </c>
      <c r="T17" s="36">
        <f t="shared" si="3"/>
        <v>0.04</v>
      </c>
      <c r="U17" s="36">
        <f t="shared" si="4"/>
        <v>2.7662517289073305E-2</v>
      </c>
      <c r="V17" s="36">
        <f t="shared" si="5"/>
        <v>7.9365079365079361E-2</v>
      </c>
      <c r="W17" s="36">
        <f t="shared" si="6"/>
        <v>7.9365079365079361E-2</v>
      </c>
      <c r="X17" s="36">
        <f t="shared" si="7"/>
        <v>2.5423728813559324E-2</v>
      </c>
      <c r="Y17" s="36">
        <f t="shared" si="8"/>
        <v>7.9365079365079361E-2</v>
      </c>
      <c r="Z17" s="36">
        <f t="shared" si="9"/>
        <v>0.04</v>
      </c>
      <c r="AA17" s="36">
        <f t="shared" si="10"/>
        <v>2.7662517289073305E-2</v>
      </c>
      <c r="AB17" s="36">
        <f t="shared" si="11"/>
        <v>5.3475935828876997E-2</v>
      </c>
      <c r="AC17" s="36">
        <f t="shared" si="12"/>
        <v>7.9365079365079361E-2</v>
      </c>
      <c r="AD17" s="36">
        <f t="shared" si="13"/>
        <v>0.04</v>
      </c>
      <c r="AE17" s="36">
        <f t="shared" si="14"/>
        <v>0.04</v>
      </c>
      <c r="AF17" s="36">
        <f t="shared" si="15"/>
        <v>0.04</v>
      </c>
      <c r="AG17" s="39">
        <f t="shared" si="16"/>
        <v>5.1403339736398657E-2</v>
      </c>
      <c r="AH17" s="1"/>
      <c r="AI17" s="96">
        <f t="shared" si="17"/>
        <v>0.79609903396868931</v>
      </c>
      <c r="AJ17" s="97">
        <f t="shared" si="18"/>
        <v>15.48730175998608</v>
      </c>
    </row>
    <row r="18" spans="1:36" ht="15" thickBot="1" x14ac:dyDescent="0.35">
      <c r="A18" s="1"/>
      <c r="B18" s="48" t="s">
        <v>21</v>
      </c>
      <c r="C18" s="84">
        <v>1</v>
      </c>
      <c r="D18" s="85">
        <v>5</v>
      </c>
      <c r="E18" s="85">
        <v>1</v>
      </c>
      <c r="F18" s="85">
        <v>0.2</v>
      </c>
      <c r="G18" s="85">
        <v>5</v>
      </c>
      <c r="H18" s="85">
        <v>5</v>
      </c>
      <c r="I18" s="85">
        <v>0.33</v>
      </c>
      <c r="J18" s="85">
        <v>5</v>
      </c>
      <c r="K18" s="85">
        <v>1</v>
      </c>
      <c r="L18" s="85">
        <v>0.2</v>
      </c>
      <c r="M18" s="85">
        <v>0.2</v>
      </c>
      <c r="N18" s="85">
        <v>5</v>
      </c>
      <c r="O18" s="85">
        <v>1</v>
      </c>
      <c r="P18" s="85">
        <v>1</v>
      </c>
      <c r="Q18" s="86">
        <v>1</v>
      </c>
      <c r="R18" s="36">
        <f t="shared" si="1"/>
        <v>0.04</v>
      </c>
      <c r="S18" s="36">
        <f t="shared" si="2"/>
        <v>7.9365079365079361E-2</v>
      </c>
      <c r="T18" s="36">
        <f t="shared" si="3"/>
        <v>0.04</v>
      </c>
      <c r="U18" s="36">
        <f t="shared" si="4"/>
        <v>2.7662517289073305E-2</v>
      </c>
      <c r="V18" s="36">
        <f t="shared" si="5"/>
        <v>7.9365079365079361E-2</v>
      </c>
      <c r="W18" s="36">
        <f t="shared" si="6"/>
        <v>7.9365079365079361E-2</v>
      </c>
      <c r="X18" s="36">
        <f t="shared" si="7"/>
        <v>2.5423728813559324E-2</v>
      </c>
      <c r="Y18" s="36">
        <f t="shared" si="8"/>
        <v>7.9365079365079361E-2</v>
      </c>
      <c r="Z18" s="36">
        <f t="shared" si="9"/>
        <v>0.04</v>
      </c>
      <c r="AA18" s="36">
        <f t="shared" si="10"/>
        <v>2.7662517289073305E-2</v>
      </c>
      <c r="AB18" s="36">
        <f t="shared" si="11"/>
        <v>5.3475935828876997E-2</v>
      </c>
      <c r="AC18" s="36">
        <f t="shared" si="12"/>
        <v>7.9365079365079361E-2</v>
      </c>
      <c r="AD18" s="36">
        <f t="shared" si="13"/>
        <v>0.04</v>
      </c>
      <c r="AE18" s="36">
        <f t="shared" si="14"/>
        <v>0.04</v>
      </c>
      <c r="AF18" s="36">
        <f t="shared" si="15"/>
        <v>0.04</v>
      </c>
      <c r="AG18" s="38">
        <f t="shared" si="16"/>
        <v>5.1403339736398657E-2</v>
      </c>
      <c r="AH18" s="1"/>
      <c r="AI18" s="96">
        <f t="shared" si="17"/>
        <v>0.79609903396868931</v>
      </c>
      <c r="AJ18" s="97">
        <f t="shared" si="18"/>
        <v>15.48730175998608</v>
      </c>
    </row>
    <row r="19" spans="1:36" ht="14.5" thickBot="1" x14ac:dyDescent="0.35">
      <c r="A19" s="1"/>
      <c r="B19" s="23" t="s">
        <v>7</v>
      </c>
      <c r="C19" s="40">
        <f>SUM(C4:C18)</f>
        <v>25</v>
      </c>
      <c r="D19" s="40">
        <f t="shared" ref="D19:Q19" si="19">SUM(D4:D18)</f>
        <v>63</v>
      </c>
      <c r="E19" s="40">
        <f t="shared" si="19"/>
        <v>25</v>
      </c>
      <c r="F19" s="40">
        <f t="shared" si="19"/>
        <v>7.23</v>
      </c>
      <c r="G19" s="40">
        <f t="shared" si="19"/>
        <v>63</v>
      </c>
      <c r="H19" s="40">
        <f t="shared" si="19"/>
        <v>63</v>
      </c>
      <c r="I19" s="40">
        <f t="shared" si="19"/>
        <v>12.98</v>
      </c>
      <c r="J19" s="40">
        <f t="shared" si="19"/>
        <v>63</v>
      </c>
      <c r="K19" s="40">
        <f t="shared" si="19"/>
        <v>25</v>
      </c>
      <c r="L19" s="40">
        <f t="shared" si="19"/>
        <v>7.23</v>
      </c>
      <c r="M19" s="40">
        <f t="shared" si="19"/>
        <v>3.7400000000000007</v>
      </c>
      <c r="N19" s="40">
        <f t="shared" si="19"/>
        <v>63</v>
      </c>
      <c r="O19" s="40">
        <f t="shared" si="19"/>
        <v>25</v>
      </c>
      <c r="P19" s="40">
        <f t="shared" si="19"/>
        <v>25</v>
      </c>
      <c r="Q19" s="40">
        <f t="shared" si="19"/>
        <v>25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6" ht="14.5" thickBot="1" x14ac:dyDescent="0.35">
      <c r="B20" s="117" t="s">
        <v>9</v>
      </c>
      <c r="C20" s="118">
        <f>AG4</f>
        <v>5.1403339736398657E-2</v>
      </c>
      <c r="D20" s="118">
        <f>AG5</f>
        <v>1.4060845917915376E-2</v>
      </c>
      <c r="E20" s="118">
        <f>AG6</f>
        <v>5.1403339736398657E-2</v>
      </c>
      <c r="F20" s="118">
        <f>AG7</f>
        <v>0.15676938866399531</v>
      </c>
      <c r="G20" s="118">
        <f>AG8</f>
        <v>1.4060845917915376E-2</v>
      </c>
      <c r="H20" s="118">
        <f>AG9</f>
        <v>1.4060845917915376E-2</v>
      </c>
      <c r="I20" s="118">
        <f>AG10</f>
        <v>9.1559240030821165E-2</v>
      </c>
      <c r="J20" s="118">
        <f>AG11</f>
        <v>1.4060845917915376E-2</v>
      </c>
      <c r="K20" s="118">
        <f>AG12</f>
        <v>5.1403339736398657E-2</v>
      </c>
      <c r="L20" s="118">
        <f>AG13</f>
        <v>0.15676938866399531</v>
      </c>
      <c r="M20" s="118">
        <f>AG14</f>
        <v>0.21617771463321953</v>
      </c>
      <c r="N20" s="118">
        <f>AG15</f>
        <v>1.4060845917915376E-2</v>
      </c>
      <c r="O20" s="118">
        <f>AG16</f>
        <v>5.1403339736398657E-2</v>
      </c>
      <c r="P20" s="118">
        <f>AG17</f>
        <v>5.1403339736398657E-2</v>
      </c>
      <c r="Q20" s="119">
        <f>AG18</f>
        <v>5.1403339736398657E-2</v>
      </c>
    </row>
  </sheetData>
  <mergeCells count="2">
    <mergeCell ref="B2:AG2"/>
    <mergeCell ref="R3:AF3"/>
  </mergeCells>
  <conditionalFormatting sqref="AP4">
    <cfRule type="cellIs" dxfId="1" priority="1" operator="greaterThan">
      <formula>0.1</formula>
    </cfRule>
    <cfRule type="cellIs" dxfId="0" priority="2" operator="lessThan">
      <formula>0.1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Inicio</vt:lpstr>
      <vt:lpstr>C. Téc.</vt:lpstr>
      <vt:lpstr>C. Eco.</vt:lpstr>
      <vt:lpstr>C. So.</vt:lpstr>
      <vt:lpstr>C. Am.</vt:lpstr>
      <vt:lpstr>C. Com.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Gonzalez Ortiz</dc:creator>
  <cp:lastModifiedBy>Ricardo Gonzalez Ortiz</cp:lastModifiedBy>
  <dcterms:created xsi:type="dcterms:W3CDTF">2025-06-18T13:48:31Z</dcterms:created>
  <dcterms:modified xsi:type="dcterms:W3CDTF">2025-11-27T01:49:43Z</dcterms:modified>
</cp:coreProperties>
</file>