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ig\OneDrive\Escritorio\Proyecto de Título\Mesa 5\Metodos Multicriterios\TOPSIS\Excel\"/>
    </mc:Choice>
  </mc:AlternateContent>
  <xr:revisionPtr revIDLastSave="0" documentId="13_ncr:1_{92CC3D65-165D-4D3D-97E0-DDFBCDF4F894}" xr6:coauthVersionLast="47" xr6:coauthVersionMax="47" xr10:uidLastSave="{00000000-0000-0000-0000-000000000000}"/>
  <bookViews>
    <workbookView xWindow="-110" yWindow="-110" windowWidth="19420" windowHeight="10300" activeTab="6" xr2:uid="{9665085C-535A-4940-A345-C859AA46C31E}"/>
  </bookViews>
  <sheets>
    <sheet name="Inicio TOPSIS" sheetId="10" r:id="rId1"/>
    <sheet name="C.Tec." sheetId="11" r:id="rId2"/>
    <sheet name="C.Eco." sheetId="12" r:id="rId3"/>
    <sheet name="C.Soc." sheetId="15" r:id="rId4"/>
    <sheet name="C.Amb." sheetId="14" r:id="rId5"/>
    <sheet name="C.Com." sheetId="13" r:id="rId6"/>
    <sheet name="Inicio AHP" sheetId="3" r:id="rId7"/>
    <sheet name="C. Téc." sheetId="4" r:id="rId8"/>
    <sheet name="C. Eco." sheetId="5" r:id="rId9"/>
    <sheet name="C. So." sheetId="6" r:id="rId10"/>
    <sheet name="C. Am." sheetId="7" r:id="rId11"/>
    <sheet name="C. Com." sheetId="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0" l="1"/>
  <c r="E7" i="10"/>
  <c r="F7" i="10"/>
  <c r="G7" i="10"/>
  <c r="H7" i="10"/>
  <c r="D8" i="10"/>
  <c r="E8" i="10"/>
  <c r="F8" i="10"/>
  <c r="G8" i="10"/>
  <c r="H8" i="10"/>
  <c r="D9" i="10"/>
  <c r="E9" i="10"/>
  <c r="F9" i="10"/>
  <c r="G9" i="10"/>
  <c r="H9" i="10"/>
  <c r="D10" i="10"/>
  <c r="E10" i="10"/>
  <c r="F10" i="10"/>
  <c r="G10" i="10"/>
  <c r="H10" i="10"/>
  <c r="D11" i="10"/>
  <c r="E11" i="10"/>
  <c r="F11" i="10"/>
  <c r="G11" i="10"/>
  <c r="H11" i="10"/>
  <c r="D12" i="10"/>
  <c r="E12" i="10"/>
  <c r="F12" i="10"/>
  <c r="G12" i="10"/>
  <c r="H12" i="10"/>
  <c r="D13" i="10"/>
  <c r="E13" i="10"/>
  <c r="F13" i="10"/>
  <c r="G13" i="10"/>
  <c r="H13" i="10"/>
  <c r="D14" i="10"/>
  <c r="E14" i="10"/>
  <c r="F14" i="10"/>
  <c r="G14" i="10"/>
  <c r="H14" i="10"/>
  <c r="D15" i="10"/>
  <c r="E15" i="10"/>
  <c r="F15" i="10"/>
  <c r="G15" i="10"/>
  <c r="H15" i="10"/>
  <c r="D16" i="10"/>
  <c r="E16" i="10"/>
  <c r="F16" i="10"/>
  <c r="G16" i="10"/>
  <c r="H16" i="10"/>
  <c r="D17" i="10"/>
  <c r="E17" i="10"/>
  <c r="F17" i="10"/>
  <c r="G17" i="10"/>
  <c r="H17" i="10"/>
  <c r="D18" i="10"/>
  <c r="E18" i="10"/>
  <c r="F18" i="10"/>
  <c r="G18" i="10"/>
  <c r="H18" i="10"/>
  <c r="D19" i="10"/>
  <c r="E19" i="10"/>
  <c r="F19" i="10"/>
  <c r="G19" i="10"/>
  <c r="H19" i="10"/>
  <c r="D20" i="10"/>
  <c r="E20" i="10"/>
  <c r="F20" i="10"/>
  <c r="G20" i="10"/>
  <c r="H20" i="10"/>
  <c r="H6" i="10"/>
  <c r="G6" i="10"/>
  <c r="F6" i="10"/>
  <c r="E6" i="10"/>
  <c r="D6" i="10"/>
  <c r="E41" i="15" l="1"/>
  <c r="D25" i="15"/>
  <c r="E25" i="15"/>
  <c r="F25" i="15"/>
  <c r="G25" i="15"/>
  <c r="H25" i="15"/>
  <c r="D26" i="15"/>
  <c r="D39" i="15" s="1" a="1"/>
  <c r="D39" i="15" s="1"/>
  <c r="D45" i="15" s="1"/>
  <c r="E26" i="15"/>
  <c r="F26" i="15"/>
  <c r="G26" i="15"/>
  <c r="H26" i="15"/>
  <c r="D27" i="15"/>
  <c r="E27" i="15"/>
  <c r="E39" i="15" s="1" a="1"/>
  <c r="E39" i="15" s="1"/>
  <c r="F27" i="15"/>
  <c r="G27" i="15"/>
  <c r="H27" i="15"/>
  <c r="D28" i="15"/>
  <c r="E28" i="15"/>
  <c r="F28" i="15"/>
  <c r="F39" i="15" s="1" a="1"/>
  <c r="F39" i="15" s="1"/>
  <c r="G28" i="15"/>
  <c r="H28" i="15"/>
  <c r="D29" i="15"/>
  <c r="E29" i="15"/>
  <c r="F29" i="15"/>
  <c r="G29" i="15"/>
  <c r="G39" i="15" s="1" a="1"/>
  <c r="G39" i="15" s="1"/>
  <c r="G42" i="15" s="1"/>
  <c r="H29" i="15"/>
  <c r="D30" i="15"/>
  <c r="E30" i="15"/>
  <c r="F30" i="15"/>
  <c r="G30" i="15"/>
  <c r="H30" i="15"/>
  <c r="D31" i="15"/>
  <c r="E31" i="15"/>
  <c r="F31" i="15"/>
  <c r="G31" i="15"/>
  <c r="H31" i="15"/>
  <c r="D32" i="15"/>
  <c r="E32" i="15"/>
  <c r="F32" i="15"/>
  <c r="G32" i="15"/>
  <c r="H32" i="15"/>
  <c r="D33" i="15"/>
  <c r="E33" i="15"/>
  <c r="F33" i="15"/>
  <c r="G33" i="15"/>
  <c r="H33" i="15"/>
  <c r="D34" i="15"/>
  <c r="E34" i="15"/>
  <c r="F34" i="15"/>
  <c r="G34" i="15"/>
  <c r="H34" i="15"/>
  <c r="D35" i="15"/>
  <c r="E35" i="15"/>
  <c r="F35" i="15"/>
  <c r="G35" i="15"/>
  <c r="H35" i="15"/>
  <c r="D36" i="15"/>
  <c r="E36" i="15"/>
  <c r="F36" i="15"/>
  <c r="G36" i="15"/>
  <c r="H36" i="15"/>
  <c r="D37" i="15"/>
  <c r="E37" i="15"/>
  <c r="F37" i="15"/>
  <c r="G37" i="15"/>
  <c r="H37" i="15"/>
  <c r="D38" i="15"/>
  <c r="E38" i="15"/>
  <c r="F38" i="15"/>
  <c r="G38" i="15"/>
  <c r="H38" i="15"/>
  <c r="E24" i="15"/>
  <c r="F24" i="15"/>
  <c r="G24" i="15"/>
  <c r="H24" i="15"/>
  <c r="D24" i="15"/>
  <c r="E22" i="15"/>
  <c r="F22" i="15"/>
  <c r="G22" i="15"/>
  <c r="H22" i="15"/>
  <c r="D22" i="15"/>
  <c r="H6" i="15"/>
  <c r="G6" i="15"/>
  <c r="F6" i="15"/>
  <c r="D21" i="14"/>
  <c r="D41" i="14" s="1"/>
  <c r="D76" i="13"/>
  <c r="D75" i="13"/>
  <c r="D21" i="13"/>
  <c r="D36" i="13" s="1"/>
  <c r="D96" i="12"/>
  <c r="D76" i="12"/>
  <c r="D75" i="12"/>
  <c r="D60" i="12"/>
  <c r="D44" i="12"/>
  <c r="D27" i="12"/>
  <c r="D21" i="12"/>
  <c r="F52" i="15" l="1"/>
  <c r="E51" i="15"/>
  <c r="F46" i="15"/>
  <c r="E45" i="15"/>
  <c r="E52" i="15"/>
  <c r="E46" i="15"/>
  <c r="F42" i="15"/>
  <c r="F49" i="15"/>
  <c r="F43" i="15"/>
  <c r="F55" i="15"/>
  <c r="E44" i="15"/>
  <c r="E42" i="15"/>
  <c r="E58" i="15" s="1"/>
  <c r="E49" i="15"/>
  <c r="E54" i="15"/>
  <c r="E43" i="15"/>
  <c r="E55" i="15"/>
  <c r="E48" i="15"/>
  <c r="H39" i="15" a="1"/>
  <c r="H39" i="15" s="1"/>
  <c r="H43" i="15" s="1"/>
  <c r="G55" i="15"/>
  <c r="G52" i="15"/>
  <c r="G68" i="15" s="1"/>
  <c r="G49" i="15"/>
  <c r="G46" i="15"/>
  <c r="G43" i="15"/>
  <c r="G41" i="15"/>
  <c r="G53" i="15"/>
  <c r="G69" i="15" s="1"/>
  <c r="G50" i="15"/>
  <c r="G47" i="15"/>
  <c r="G44" i="15"/>
  <c r="F41" i="15"/>
  <c r="F53" i="15"/>
  <c r="F50" i="15"/>
  <c r="F47" i="15"/>
  <c r="F44" i="15"/>
  <c r="F60" i="15" s="1"/>
  <c r="G54" i="15"/>
  <c r="E53" i="15"/>
  <c r="G51" i="15"/>
  <c r="E50" i="15"/>
  <c r="G48" i="15"/>
  <c r="E47" i="15"/>
  <c r="G45" i="15"/>
  <c r="F54" i="15"/>
  <c r="F51" i="15"/>
  <c r="F48" i="15"/>
  <c r="F45" i="15"/>
  <c r="D41" i="15"/>
  <c r="D57" i="15" s="1"/>
  <c r="D46" i="15"/>
  <c r="D47" i="15"/>
  <c r="D63" i="15" s="1"/>
  <c r="D54" i="15"/>
  <c r="D42" i="15"/>
  <c r="D55" i="15"/>
  <c r="D49" i="15"/>
  <c r="D43" i="15"/>
  <c r="D50" i="15"/>
  <c r="D44" i="15"/>
  <c r="D52" i="15"/>
  <c r="D53" i="15"/>
  <c r="D48" i="15"/>
  <c r="D51" i="15"/>
  <c r="I6" i="15"/>
  <c r="G71" i="15"/>
  <c r="F66" i="15"/>
  <c r="F62" i="15"/>
  <c r="D61" i="15"/>
  <c r="G60" i="15"/>
  <c r="D37" i="14"/>
  <c r="D30" i="14"/>
  <c r="D31" i="14"/>
  <c r="D36" i="14"/>
  <c r="D32" i="14"/>
  <c r="D28" i="14"/>
  <c r="D34" i="14"/>
  <c r="D40" i="14"/>
  <c r="D38" i="14"/>
  <c r="D27" i="14"/>
  <c r="D33" i="14"/>
  <c r="D39" i="14"/>
  <c r="D29" i="14"/>
  <c r="D35" i="14"/>
  <c r="D37" i="13"/>
  <c r="D31" i="13"/>
  <c r="D38" i="13"/>
  <c r="D27" i="13"/>
  <c r="D33" i="13"/>
  <c r="D39" i="13"/>
  <c r="D28" i="13"/>
  <c r="D34" i="13"/>
  <c r="D40" i="13"/>
  <c r="D32" i="13"/>
  <c r="D29" i="13"/>
  <c r="D35" i="13"/>
  <c r="D41" i="13"/>
  <c r="D30" i="13"/>
  <c r="D36" i="12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96" i="11"/>
  <c r="D21" i="11"/>
  <c r="D32" i="11" s="1"/>
  <c r="D21" i="10" a="1"/>
  <c r="D21" i="10" s="1"/>
  <c r="D33" i="10" s="1"/>
  <c r="D49" i="10" s="1"/>
  <c r="F21" i="10" a="1"/>
  <c r="F21" i="10" s="1"/>
  <c r="E21" i="10" a="1"/>
  <c r="E21" i="10" s="1"/>
  <c r="E30" i="10" s="1"/>
  <c r="E46" i="10" s="1"/>
  <c r="I5" i="10"/>
  <c r="D34" i="3"/>
  <c r="AI18" i="8"/>
  <c r="AJ18" i="8" s="1"/>
  <c r="AI17" i="8"/>
  <c r="AJ17" i="8" s="1"/>
  <c r="AI16" i="8"/>
  <c r="AJ16" i="8" s="1"/>
  <c r="AI15" i="8"/>
  <c r="AJ15" i="8" s="1"/>
  <c r="AI14" i="8"/>
  <c r="AJ14" i="8" s="1"/>
  <c r="AI13" i="8"/>
  <c r="AJ13" i="8" s="1"/>
  <c r="AI12" i="8"/>
  <c r="AJ12" i="8" s="1"/>
  <c r="AI11" i="8"/>
  <c r="AJ11" i="8" s="1"/>
  <c r="AI10" i="8"/>
  <c r="AJ10" i="8" s="1"/>
  <c r="AI9" i="8"/>
  <c r="AJ9" i="8" s="1"/>
  <c r="AI8" i="8"/>
  <c r="AJ8" i="8" s="1"/>
  <c r="AI7" i="8"/>
  <c r="AJ7" i="8" s="1"/>
  <c r="AI6" i="8"/>
  <c r="AJ6" i="8" s="1"/>
  <c r="AI5" i="8"/>
  <c r="AJ5" i="8" s="1"/>
  <c r="AM4" i="8"/>
  <c r="AI4" i="8"/>
  <c r="AJ4" i="8" s="1"/>
  <c r="AI18" i="7"/>
  <c r="AJ18" i="7" s="1"/>
  <c r="AI17" i="7"/>
  <c r="AJ17" i="7" s="1"/>
  <c r="AI16" i="7"/>
  <c r="AJ16" i="7" s="1"/>
  <c r="AI15" i="7"/>
  <c r="AJ15" i="7" s="1"/>
  <c r="AI14" i="7"/>
  <c r="AJ14" i="7" s="1"/>
  <c r="AI13" i="7"/>
  <c r="AJ13" i="7" s="1"/>
  <c r="AI12" i="7"/>
  <c r="AJ12" i="7" s="1"/>
  <c r="AI11" i="7"/>
  <c r="AJ11" i="7" s="1"/>
  <c r="AI10" i="7"/>
  <c r="AJ10" i="7" s="1"/>
  <c r="AI9" i="7"/>
  <c r="AJ9" i="7" s="1"/>
  <c r="AI8" i="7"/>
  <c r="AJ8" i="7" s="1"/>
  <c r="AI7" i="7"/>
  <c r="AJ7" i="7" s="1"/>
  <c r="AI6" i="7"/>
  <c r="AJ6" i="7" s="1"/>
  <c r="AI5" i="7"/>
  <c r="AJ5" i="7" s="1"/>
  <c r="AM4" i="7"/>
  <c r="AI4" i="7"/>
  <c r="AJ4" i="7" s="1"/>
  <c r="AI18" i="6"/>
  <c r="AJ18" i="6" s="1"/>
  <c r="AI17" i="6"/>
  <c r="AJ17" i="6" s="1"/>
  <c r="AI16" i="6"/>
  <c r="AJ16" i="6" s="1"/>
  <c r="AI15" i="6"/>
  <c r="AJ15" i="6" s="1"/>
  <c r="AI14" i="6"/>
  <c r="AJ14" i="6" s="1"/>
  <c r="AI13" i="6"/>
  <c r="AJ13" i="6" s="1"/>
  <c r="AI12" i="6"/>
  <c r="AJ12" i="6" s="1"/>
  <c r="AI11" i="6"/>
  <c r="AJ11" i="6" s="1"/>
  <c r="AI10" i="6"/>
  <c r="AJ10" i="6" s="1"/>
  <c r="AI9" i="6"/>
  <c r="AJ9" i="6" s="1"/>
  <c r="AI8" i="6"/>
  <c r="AJ8" i="6" s="1"/>
  <c r="AI7" i="6"/>
  <c r="AJ7" i="6" s="1"/>
  <c r="AI6" i="6"/>
  <c r="AJ6" i="6" s="1"/>
  <c r="AI5" i="6"/>
  <c r="AJ5" i="6" s="1"/>
  <c r="AM4" i="6"/>
  <c r="AI4" i="6"/>
  <c r="AJ4" i="6" s="1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Q20" i="5"/>
  <c r="P20" i="5"/>
  <c r="O20" i="5"/>
  <c r="N20" i="5"/>
  <c r="M20" i="5"/>
  <c r="L20" i="5"/>
  <c r="K20" i="5"/>
  <c r="J20" i="5"/>
  <c r="I20" i="5"/>
  <c r="H20" i="5"/>
  <c r="AI17" i="5" s="1"/>
  <c r="AJ17" i="5" s="1"/>
  <c r="G20" i="5"/>
  <c r="F20" i="5"/>
  <c r="AI8" i="5" s="1"/>
  <c r="AJ8" i="5" s="1"/>
  <c r="E20" i="5"/>
  <c r="D20" i="5"/>
  <c r="C20" i="5"/>
  <c r="AI16" i="5" s="1"/>
  <c r="AJ16" i="5" s="1"/>
  <c r="AI4" i="5"/>
  <c r="AJ4" i="5" s="1"/>
  <c r="AI13" i="5"/>
  <c r="AJ13" i="5" s="1"/>
  <c r="AI11" i="5"/>
  <c r="AJ11" i="5" s="1"/>
  <c r="AI7" i="5"/>
  <c r="AJ7" i="5" s="1"/>
  <c r="AI5" i="5"/>
  <c r="AJ5" i="5" s="1"/>
  <c r="AM4" i="5"/>
  <c r="AP3" i="4"/>
  <c r="AP4" i="4"/>
  <c r="AM4" i="4"/>
  <c r="AK4" i="4"/>
  <c r="L14" i="3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4" i="4"/>
  <c r="K14" i="3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4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J14" i="3"/>
  <c r="K17" i="4"/>
  <c r="K18" i="4"/>
  <c r="O18" i="4"/>
  <c r="M18" i="4"/>
  <c r="M17" i="4"/>
  <c r="M16" i="4"/>
  <c r="M15" i="4"/>
  <c r="L18" i="4"/>
  <c r="L17" i="4"/>
  <c r="L16" i="4"/>
  <c r="L15" i="4"/>
  <c r="L14" i="4"/>
  <c r="K16" i="4"/>
  <c r="K15" i="4"/>
  <c r="K14" i="4"/>
  <c r="K13" i="4"/>
  <c r="J18" i="4"/>
  <c r="J17" i="4"/>
  <c r="J16" i="4"/>
  <c r="J15" i="4"/>
  <c r="J14" i="4"/>
  <c r="J13" i="4"/>
  <c r="J12" i="4"/>
  <c r="I18" i="4"/>
  <c r="I17" i="4"/>
  <c r="I16" i="4"/>
  <c r="I15" i="4"/>
  <c r="I14" i="4"/>
  <c r="I13" i="4"/>
  <c r="I12" i="4"/>
  <c r="I11" i="4"/>
  <c r="H18" i="4"/>
  <c r="H17" i="4"/>
  <c r="H16" i="4"/>
  <c r="H15" i="4"/>
  <c r="H14" i="4"/>
  <c r="H13" i="4"/>
  <c r="H12" i="4"/>
  <c r="H11" i="4"/>
  <c r="H10" i="4"/>
  <c r="G18" i="4"/>
  <c r="G17" i="4"/>
  <c r="G16" i="4"/>
  <c r="G15" i="4"/>
  <c r="G14" i="4"/>
  <c r="G13" i="4"/>
  <c r="G12" i="4"/>
  <c r="G11" i="4"/>
  <c r="G10" i="4"/>
  <c r="G9" i="4"/>
  <c r="F18" i="4"/>
  <c r="F17" i="4"/>
  <c r="F16" i="4"/>
  <c r="F15" i="4"/>
  <c r="F14" i="4"/>
  <c r="F13" i="4"/>
  <c r="F12" i="4"/>
  <c r="F11" i="4"/>
  <c r="F10" i="4"/>
  <c r="F9" i="4"/>
  <c r="F8" i="4"/>
  <c r="N18" i="4"/>
  <c r="N17" i="4"/>
  <c r="N16" i="4"/>
  <c r="O17" i="4"/>
  <c r="P18" i="4"/>
  <c r="E18" i="4"/>
  <c r="E17" i="4"/>
  <c r="E16" i="4"/>
  <c r="E15" i="4"/>
  <c r="E14" i="4"/>
  <c r="E13" i="4"/>
  <c r="E12" i="4"/>
  <c r="E11" i="4"/>
  <c r="E10" i="4"/>
  <c r="E9" i="4"/>
  <c r="E8" i="4"/>
  <c r="E7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28" i="4"/>
  <c r="E26" i="4" s="1"/>
  <c r="C27" i="4"/>
  <c r="C26" i="4"/>
  <c r="C25" i="4"/>
  <c r="E31" i="10" l="1"/>
  <c r="E47" i="10" s="1"/>
  <c r="H47" i="15"/>
  <c r="H52" i="15"/>
  <c r="H41" i="15"/>
  <c r="H51" i="15"/>
  <c r="H67" i="15" s="1"/>
  <c r="H49" i="15"/>
  <c r="H65" i="15" s="1"/>
  <c r="H42" i="15"/>
  <c r="H58" i="15" s="1"/>
  <c r="H55" i="15"/>
  <c r="H53" i="15"/>
  <c r="H48" i="15"/>
  <c r="H46" i="15"/>
  <c r="H62" i="15" s="1"/>
  <c r="H44" i="15"/>
  <c r="H60" i="15" s="1"/>
  <c r="H54" i="15"/>
  <c r="H70" i="15" s="1"/>
  <c r="H50" i="15"/>
  <c r="H45" i="15"/>
  <c r="G58" i="15"/>
  <c r="F61" i="15"/>
  <c r="F67" i="15"/>
  <c r="F59" i="15"/>
  <c r="F69" i="15"/>
  <c r="F70" i="15"/>
  <c r="F63" i="15"/>
  <c r="F58" i="15"/>
  <c r="F71" i="15"/>
  <c r="F57" i="15"/>
  <c r="F64" i="15"/>
  <c r="F65" i="15"/>
  <c r="D71" i="15"/>
  <c r="F68" i="15"/>
  <c r="E67" i="15"/>
  <c r="G57" i="15"/>
  <c r="G70" i="15"/>
  <c r="G62" i="15"/>
  <c r="G61" i="15"/>
  <c r="G66" i="15"/>
  <c r="G64" i="15"/>
  <c r="G67" i="15"/>
  <c r="G59" i="15"/>
  <c r="G65" i="15"/>
  <c r="G63" i="15"/>
  <c r="E57" i="15"/>
  <c r="E65" i="15"/>
  <c r="E69" i="15"/>
  <c r="E66" i="15"/>
  <c r="E63" i="15"/>
  <c r="E60" i="15"/>
  <c r="E62" i="15"/>
  <c r="E59" i="15"/>
  <c r="E64" i="15"/>
  <c r="H66" i="15"/>
  <c r="H57" i="15"/>
  <c r="H71" i="15"/>
  <c r="H68" i="15"/>
  <c r="E61" i="15"/>
  <c r="H59" i="15"/>
  <c r="E70" i="15"/>
  <c r="E71" i="15"/>
  <c r="H69" i="15"/>
  <c r="D58" i="15"/>
  <c r="D62" i="15"/>
  <c r="D59" i="15"/>
  <c r="D66" i="15"/>
  <c r="D68" i="15"/>
  <c r="D65" i="15"/>
  <c r="D60" i="15"/>
  <c r="H64" i="15"/>
  <c r="D69" i="15"/>
  <c r="H61" i="15"/>
  <c r="D70" i="15"/>
  <c r="E68" i="15"/>
  <c r="D64" i="15"/>
  <c r="H63" i="15"/>
  <c r="D67" i="15"/>
  <c r="D42" i="14" a="1"/>
  <c r="D42" i="14" s="1"/>
  <c r="D42" i="13" a="1"/>
  <c r="D42" i="13" s="1"/>
  <c r="D44" i="13" s="1"/>
  <c r="D60" i="13" s="1"/>
  <c r="D40" i="12"/>
  <c r="D28" i="12"/>
  <c r="D31" i="12"/>
  <c r="D34" i="12"/>
  <c r="D37" i="12"/>
  <c r="D32" i="12"/>
  <c r="D38" i="12"/>
  <c r="D33" i="12"/>
  <c r="D39" i="12"/>
  <c r="D29" i="12"/>
  <c r="D35" i="12"/>
  <c r="D41" i="12"/>
  <c r="D30" i="12"/>
  <c r="D37" i="11"/>
  <c r="D36" i="11"/>
  <c r="D41" i="11"/>
  <c r="D35" i="11"/>
  <c r="D34" i="11"/>
  <c r="D39" i="11"/>
  <c r="D33" i="11"/>
  <c r="D31" i="11"/>
  <c r="D27" i="11"/>
  <c r="D30" i="11"/>
  <c r="D29" i="11"/>
  <c r="D40" i="11"/>
  <c r="D28" i="11"/>
  <c r="D38" i="11"/>
  <c r="D25" i="10"/>
  <c r="D41" i="10" s="1"/>
  <c r="F24" i="10"/>
  <c r="F40" i="10" s="1"/>
  <c r="F36" i="10"/>
  <c r="F52" i="10" s="1"/>
  <c r="F31" i="10"/>
  <c r="F47" i="10" s="1"/>
  <c r="F26" i="10"/>
  <c r="F42" i="10" s="1"/>
  <c r="F35" i="10"/>
  <c r="F51" i="10" s="1"/>
  <c r="F27" i="10"/>
  <c r="F43" i="10" s="1"/>
  <c r="E35" i="10"/>
  <c r="E51" i="10" s="1"/>
  <c r="E34" i="10"/>
  <c r="E50" i="10" s="1"/>
  <c r="E26" i="10"/>
  <c r="E42" i="10" s="1"/>
  <c r="E29" i="10"/>
  <c r="E45" i="10" s="1"/>
  <c r="F25" i="10"/>
  <c r="F41" i="10" s="1"/>
  <c r="E36" i="10"/>
  <c r="E52" i="10" s="1"/>
  <c r="F37" i="10"/>
  <c r="F53" i="10" s="1"/>
  <c r="E27" i="10"/>
  <c r="E43" i="10" s="1"/>
  <c r="D26" i="10"/>
  <c r="D42" i="10" s="1"/>
  <c r="D27" i="10"/>
  <c r="D43" i="10" s="1"/>
  <c r="D37" i="10"/>
  <c r="D53" i="10" s="1"/>
  <c r="D30" i="10"/>
  <c r="D46" i="10" s="1"/>
  <c r="F34" i="10"/>
  <c r="F50" i="10" s="1"/>
  <c r="E23" i="10"/>
  <c r="E39" i="10" s="1"/>
  <c r="F30" i="10"/>
  <c r="F46" i="10" s="1"/>
  <c r="F23" i="10"/>
  <c r="F39" i="10" s="1"/>
  <c r="E28" i="10"/>
  <c r="E44" i="10" s="1"/>
  <c r="F29" i="10"/>
  <c r="F45" i="10" s="1"/>
  <c r="F28" i="10"/>
  <c r="F44" i="10" s="1"/>
  <c r="E33" i="10"/>
  <c r="E49" i="10" s="1"/>
  <c r="H21" i="10" a="1"/>
  <c r="H21" i="10" s="1"/>
  <c r="H34" i="10" s="1"/>
  <c r="H50" i="10" s="1"/>
  <c r="D31" i="10"/>
  <c r="D47" i="10" s="1"/>
  <c r="E32" i="10"/>
  <c r="E48" i="10" s="1"/>
  <c r="F33" i="10"/>
  <c r="F49" i="10" s="1"/>
  <c r="G21" i="10" a="1"/>
  <c r="G21" i="10" s="1"/>
  <c r="G27" i="10" s="1"/>
  <c r="G43" i="10" s="1"/>
  <c r="D24" i="10"/>
  <c r="D40" i="10" s="1"/>
  <c r="E25" i="10"/>
  <c r="E41" i="10" s="1"/>
  <c r="F32" i="10"/>
  <c r="F48" i="10" s="1"/>
  <c r="D36" i="10"/>
  <c r="D52" i="10" s="1"/>
  <c r="E37" i="10"/>
  <c r="E53" i="10" s="1"/>
  <c r="E24" i="10"/>
  <c r="E40" i="10" s="1"/>
  <c r="D23" i="10"/>
  <c r="D39" i="10" s="1"/>
  <c r="D34" i="10"/>
  <c r="D50" i="10" s="1"/>
  <c r="D28" i="10"/>
  <c r="D44" i="10" s="1"/>
  <c r="D35" i="10"/>
  <c r="D51" i="10" s="1"/>
  <c r="D29" i="10"/>
  <c r="D45" i="10" s="1"/>
  <c r="D32" i="10"/>
  <c r="D48" i="10" s="1"/>
  <c r="AK4" i="8"/>
  <c r="AP3" i="8" s="1"/>
  <c r="AP4" i="8" s="1"/>
  <c r="AK4" i="7"/>
  <c r="AP3" i="7" s="1"/>
  <c r="AP4" i="7" s="1"/>
  <c r="AK4" i="6"/>
  <c r="AP3" i="6" s="1"/>
  <c r="AP4" i="6" s="1"/>
  <c r="AI6" i="5"/>
  <c r="AJ6" i="5" s="1"/>
  <c r="AI12" i="5"/>
  <c r="AJ12" i="5" s="1"/>
  <c r="AI18" i="5"/>
  <c r="AJ18" i="5" s="1"/>
  <c r="AI14" i="5"/>
  <c r="AJ14" i="5" s="1"/>
  <c r="AK4" i="5" s="1"/>
  <c r="AP3" i="5" s="1"/>
  <c r="AP4" i="5" s="1"/>
  <c r="AI9" i="5"/>
  <c r="AJ9" i="5" s="1"/>
  <c r="AI15" i="5"/>
  <c r="AJ15" i="5" s="1"/>
  <c r="AI10" i="5"/>
  <c r="AJ10" i="5" s="1"/>
  <c r="E25" i="4"/>
  <c r="H25" i="4"/>
  <c r="E27" i="4"/>
  <c r="H26" i="4" s="1"/>
  <c r="D28" i="3"/>
  <c r="E28" i="3"/>
  <c r="G28" i="3"/>
  <c r="F28" i="3"/>
  <c r="F27" i="3"/>
  <c r="E27" i="3"/>
  <c r="E26" i="3"/>
  <c r="D27" i="3"/>
  <c r="D26" i="3"/>
  <c r="D25" i="3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R4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C19" i="6"/>
  <c r="D19" i="8"/>
  <c r="S4" i="8" s="1"/>
  <c r="E19" i="8"/>
  <c r="T4" i="8" s="1"/>
  <c r="F19" i="8"/>
  <c r="U6" i="8" s="1"/>
  <c r="G19" i="8"/>
  <c r="V6" i="8" s="1"/>
  <c r="H19" i="8"/>
  <c r="W6" i="8" s="1"/>
  <c r="I19" i="8"/>
  <c r="X5" i="8" s="1"/>
  <c r="J19" i="8"/>
  <c r="Y4" i="8" s="1"/>
  <c r="K19" i="8"/>
  <c r="Z4" i="8" s="1"/>
  <c r="L19" i="8"/>
  <c r="AA6" i="8" s="1"/>
  <c r="M19" i="8"/>
  <c r="AB6" i="8" s="1"/>
  <c r="N19" i="8"/>
  <c r="AC6" i="8" s="1"/>
  <c r="O19" i="8"/>
  <c r="AD5" i="8" s="1"/>
  <c r="P19" i="8"/>
  <c r="AE4" i="8" s="1"/>
  <c r="Q19" i="8"/>
  <c r="AF4" i="8" s="1"/>
  <c r="C19" i="8"/>
  <c r="R5" i="8" s="1"/>
  <c r="G33" i="10" l="1"/>
  <c r="G49" i="10" s="1"/>
  <c r="G34" i="10"/>
  <c r="G50" i="10" s="1"/>
  <c r="G29" i="10"/>
  <c r="G45" i="10" s="1"/>
  <c r="G30" i="10"/>
  <c r="G46" i="10" s="1"/>
  <c r="G26" i="10"/>
  <c r="G42" i="10" s="1"/>
  <c r="L66" i="10"/>
  <c r="L62" i="10"/>
  <c r="L60" i="10"/>
  <c r="F72" i="15"/>
  <c r="F81" i="15" s="1"/>
  <c r="F73" i="15"/>
  <c r="L86" i="15" s="1"/>
  <c r="G72" i="15"/>
  <c r="G84" i="15" s="1"/>
  <c r="G73" i="15"/>
  <c r="M80" i="15" s="1"/>
  <c r="D72" i="15"/>
  <c r="D73" i="15"/>
  <c r="J83" i="15" s="1"/>
  <c r="H73" i="15"/>
  <c r="N85" i="15" s="1"/>
  <c r="H72" i="15"/>
  <c r="H77" i="15" s="1"/>
  <c r="E73" i="15"/>
  <c r="E72" i="15"/>
  <c r="E79" i="15" s="1"/>
  <c r="G81" i="15"/>
  <c r="D48" i="14"/>
  <c r="D64" i="14" s="1"/>
  <c r="D54" i="14"/>
  <c r="D70" i="14" s="1"/>
  <c r="D58" i="14"/>
  <c r="D74" i="14" s="1"/>
  <c r="D47" i="14"/>
  <c r="D63" i="14" s="1"/>
  <c r="D53" i="14"/>
  <c r="D69" i="14" s="1"/>
  <c r="D45" i="14"/>
  <c r="D61" i="14" s="1"/>
  <c r="D44" i="14"/>
  <c r="D60" i="14" s="1"/>
  <c r="D56" i="14"/>
  <c r="D72" i="14" s="1"/>
  <c r="D57" i="14"/>
  <c r="D73" i="14" s="1"/>
  <c r="D55" i="14"/>
  <c r="D71" i="14" s="1"/>
  <c r="D50" i="14"/>
  <c r="D66" i="14" s="1"/>
  <c r="D46" i="14"/>
  <c r="D62" i="14" s="1"/>
  <c r="D52" i="14"/>
  <c r="D68" i="14" s="1"/>
  <c r="D49" i="14"/>
  <c r="D65" i="14" s="1"/>
  <c r="D51" i="14"/>
  <c r="D67" i="14" s="1"/>
  <c r="D52" i="13"/>
  <c r="D68" i="13" s="1"/>
  <c r="D50" i="13"/>
  <c r="D66" i="13" s="1"/>
  <c r="D51" i="13"/>
  <c r="D67" i="13" s="1"/>
  <c r="D45" i="13"/>
  <c r="D61" i="13" s="1"/>
  <c r="D58" i="13"/>
  <c r="D74" i="13" s="1"/>
  <c r="D48" i="13"/>
  <c r="D64" i="13" s="1"/>
  <c r="D54" i="13"/>
  <c r="D70" i="13" s="1"/>
  <c r="D53" i="13"/>
  <c r="D69" i="13" s="1"/>
  <c r="D55" i="13"/>
  <c r="D71" i="13" s="1"/>
  <c r="D47" i="13"/>
  <c r="D63" i="13" s="1"/>
  <c r="D57" i="13"/>
  <c r="D73" i="13" s="1"/>
  <c r="D56" i="13"/>
  <c r="D72" i="13" s="1"/>
  <c r="D49" i="13"/>
  <c r="D65" i="13" s="1"/>
  <c r="D46" i="13"/>
  <c r="D62" i="13" s="1"/>
  <c r="D42" i="12" a="1"/>
  <c r="D42" i="12" s="1"/>
  <c r="D42" i="11" a="1"/>
  <c r="D42" i="11" s="1"/>
  <c r="D44" i="11" s="1"/>
  <c r="D60" i="11" s="1"/>
  <c r="D54" i="11"/>
  <c r="D70" i="11" s="1"/>
  <c r="D57" i="11"/>
  <c r="D73" i="11" s="1"/>
  <c r="H25" i="10"/>
  <c r="H41" i="10" s="1"/>
  <c r="H33" i="10"/>
  <c r="H49" i="10" s="1"/>
  <c r="H28" i="10"/>
  <c r="H44" i="10" s="1"/>
  <c r="H37" i="10"/>
  <c r="H53" i="10" s="1"/>
  <c r="H32" i="10"/>
  <c r="H48" i="10" s="1"/>
  <c r="H35" i="10"/>
  <c r="H51" i="10" s="1"/>
  <c r="H23" i="10"/>
  <c r="H39" i="10" s="1"/>
  <c r="H31" i="10"/>
  <c r="H47" i="10" s="1"/>
  <c r="E55" i="10"/>
  <c r="K65" i="10" s="1"/>
  <c r="E54" i="10"/>
  <c r="E58" i="10" s="1"/>
  <c r="H36" i="10"/>
  <c r="H52" i="10" s="1"/>
  <c r="H27" i="10"/>
  <c r="H43" i="10" s="1"/>
  <c r="D54" i="10"/>
  <c r="D58" i="10" s="1"/>
  <c r="D55" i="10"/>
  <c r="J68" i="10" s="1"/>
  <c r="H30" i="10"/>
  <c r="H46" i="10" s="1"/>
  <c r="F64" i="10"/>
  <c r="H24" i="10"/>
  <c r="H40" i="10" s="1"/>
  <c r="H26" i="10"/>
  <c r="H42" i="10" s="1"/>
  <c r="H29" i="10"/>
  <c r="H45" i="10" s="1"/>
  <c r="F55" i="10"/>
  <c r="L61" i="10" s="1"/>
  <c r="F54" i="10"/>
  <c r="F59" i="10" s="1"/>
  <c r="G25" i="10"/>
  <c r="G41" i="10" s="1"/>
  <c r="G37" i="10"/>
  <c r="G53" i="10" s="1"/>
  <c r="G24" i="10"/>
  <c r="G40" i="10" s="1"/>
  <c r="G36" i="10"/>
  <c r="G52" i="10" s="1"/>
  <c r="G31" i="10"/>
  <c r="G47" i="10" s="1"/>
  <c r="G32" i="10"/>
  <c r="G48" i="10" s="1"/>
  <c r="G35" i="10"/>
  <c r="G51" i="10" s="1"/>
  <c r="G28" i="10"/>
  <c r="G44" i="10" s="1"/>
  <c r="G23" i="10"/>
  <c r="G39" i="10" s="1"/>
  <c r="H27" i="4"/>
  <c r="AD4" i="8"/>
  <c r="X4" i="8"/>
  <c r="AF18" i="8"/>
  <c r="Z18" i="8"/>
  <c r="T18" i="8"/>
  <c r="AC17" i="8"/>
  <c r="W17" i="8"/>
  <c r="AF16" i="8"/>
  <c r="Z16" i="8"/>
  <c r="T16" i="8"/>
  <c r="AC15" i="8"/>
  <c r="W15" i="8"/>
  <c r="AF14" i="8"/>
  <c r="Z14" i="8"/>
  <c r="T14" i="8"/>
  <c r="AC13" i="8"/>
  <c r="W13" i="8"/>
  <c r="AF12" i="8"/>
  <c r="Z12" i="8"/>
  <c r="T12" i="8"/>
  <c r="AC11" i="8"/>
  <c r="W11" i="8"/>
  <c r="AF10" i="8"/>
  <c r="Z10" i="8"/>
  <c r="T10" i="8"/>
  <c r="AC9" i="8"/>
  <c r="W9" i="8"/>
  <c r="AF8" i="8"/>
  <c r="Z8" i="8"/>
  <c r="T8" i="8"/>
  <c r="AC7" i="8"/>
  <c r="W7" i="8"/>
  <c r="AF6" i="8"/>
  <c r="Z6" i="8"/>
  <c r="T6" i="8"/>
  <c r="AC5" i="8"/>
  <c r="W5" i="8"/>
  <c r="AC4" i="8"/>
  <c r="W4" i="8"/>
  <c r="AE18" i="8"/>
  <c r="Y18" i="8"/>
  <c r="S18" i="8"/>
  <c r="AB17" i="8"/>
  <c r="V17" i="8"/>
  <c r="AE16" i="8"/>
  <c r="Y16" i="8"/>
  <c r="S16" i="8"/>
  <c r="AB15" i="8"/>
  <c r="V15" i="8"/>
  <c r="AE14" i="8"/>
  <c r="Y14" i="8"/>
  <c r="S14" i="8"/>
  <c r="AB13" i="8"/>
  <c r="V13" i="8"/>
  <c r="AE12" i="8"/>
  <c r="Y12" i="8"/>
  <c r="S12" i="8"/>
  <c r="AB11" i="8"/>
  <c r="V11" i="8"/>
  <c r="AE10" i="8"/>
  <c r="Y10" i="8"/>
  <c r="S10" i="8"/>
  <c r="AB9" i="8"/>
  <c r="V9" i="8"/>
  <c r="AE8" i="8"/>
  <c r="Y8" i="8"/>
  <c r="S8" i="8"/>
  <c r="AB7" i="8"/>
  <c r="V7" i="8"/>
  <c r="AE6" i="8"/>
  <c r="Y6" i="8"/>
  <c r="S6" i="8"/>
  <c r="AB5" i="8"/>
  <c r="V5" i="8"/>
  <c r="AB4" i="8"/>
  <c r="V4" i="8"/>
  <c r="AD18" i="8"/>
  <c r="X18" i="8"/>
  <c r="R18" i="8"/>
  <c r="AA17" i="8"/>
  <c r="U17" i="8"/>
  <c r="AD16" i="8"/>
  <c r="X16" i="8"/>
  <c r="R16" i="8"/>
  <c r="AA15" i="8"/>
  <c r="U15" i="8"/>
  <c r="AD14" i="8"/>
  <c r="X14" i="8"/>
  <c r="R14" i="8"/>
  <c r="AA13" i="8"/>
  <c r="U13" i="8"/>
  <c r="AD12" i="8"/>
  <c r="X12" i="8"/>
  <c r="R12" i="8"/>
  <c r="AA11" i="8"/>
  <c r="U11" i="8"/>
  <c r="AD10" i="8"/>
  <c r="X10" i="8"/>
  <c r="R10" i="8"/>
  <c r="AA9" i="8"/>
  <c r="U9" i="8"/>
  <c r="AD8" i="8"/>
  <c r="X8" i="8"/>
  <c r="R8" i="8"/>
  <c r="AA7" i="8"/>
  <c r="U7" i="8"/>
  <c r="AD6" i="8"/>
  <c r="X6" i="8"/>
  <c r="R6" i="8"/>
  <c r="AA5" i="8"/>
  <c r="U5" i="8"/>
  <c r="R4" i="8"/>
  <c r="AA4" i="8"/>
  <c r="U4" i="8"/>
  <c r="AC18" i="8"/>
  <c r="W18" i="8"/>
  <c r="AF17" i="8"/>
  <c r="Z17" i="8"/>
  <c r="T17" i="8"/>
  <c r="AC16" i="8"/>
  <c r="W16" i="8"/>
  <c r="AF15" i="8"/>
  <c r="Z15" i="8"/>
  <c r="T15" i="8"/>
  <c r="AC14" i="8"/>
  <c r="W14" i="8"/>
  <c r="AF13" i="8"/>
  <c r="Z13" i="8"/>
  <c r="T13" i="8"/>
  <c r="AC12" i="8"/>
  <c r="W12" i="8"/>
  <c r="AF11" i="8"/>
  <c r="Z11" i="8"/>
  <c r="T11" i="8"/>
  <c r="AC10" i="8"/>
  <c r="W10" i="8"/>
  <c r="AF9" i="8"/>
  <c r="Z9" i="8"/>
  <c r="T9" i="8"/>
  <c r="AC8" i="8"/>
  <c r="W8" i="8"/>
  <c r="AF7" i="8"/>
  <c r="Z7" i="8"/>
  <c r="T7" i="8"/>
  <c r="AF5" i="8"/>
  <c r="Z5" i="8"/>
  <c r="T5" i="8"/>
  <c r="AB18" i="8"/>
  <c r="V18" i="8"/>
  <c r="AE17" i="8"/>
  <c r="Y17" i="8"/>
  <c r="S17" i="8"/>
  <c r="AB16" i="8"/>
  <c r="V16" i="8"/>
  <c r="AE15" i="8"/>
  <c r="Y15" i="8"/>
  <c r="S15" i="8"/>
  <c r="AB14" i="8"/>
  <c r="V14" i="8"/>
  <c r="AE13" i="8"/>
  <c r="Y13" i="8"/>
  <c r="S13" i="8"/>
  <c r="AB12" i="8"/>
  <c r="V12" i="8"/>
  <c r="AE11" i="8"/>
  <c r="Y11" i="8"/>
  <c r="S11" i="8"/>
  <c r="AB10" i="8"/>
  <c r="V10" i="8"/>
  <c r="AE9" i="8"/>
  <c r="Y9" i="8"/>
  <c r="S9" i="8"/>
  <c r="AB8" i="8"/>
  <c r="V8" i="8"/>
  <c r="AE7" i="8"/>
  <c r="Y7" i="8"/>
  <c r="S7" i="8"/>
  <c r="AE5" i="8"/>
  <c r="Y5" i="8"/>
  <c r="S5" i="8"/>
  <c r="AA18" i="8"/>
  <c r="U18" i="8"/>
  <c r="AD17" i="8"/>
  <c r="X17" i="8"/>
  <c r="R17" i="8"/>
  <c r="AA16" i="8"/>
  <c r="U16" i="8"/>
  <c r="AD15" i="8"/>
  <c r="X15" i="8"/>
  <c r="R15" i="8"/>
  <c r="AA14" i="8"/>
  <c r="U14" i="8"/>
  <c r="AD13" i="8"/>
  <c r="X13" i="8"/>
  <c r="R13" i="8"/>
  <c r="AA12" i="8"/>
  <c r="U12" i="8"/>
  <c r="AD11" i="8"/>
  <c r="X11" i="8"/>
  <c r="R11" i="8"/>
  <c r="AA10" i="8"/>
  <c r="U10" i="8"/>
  <c r="AD9" i="8"/>
  <c r="X9" i="8"/>
  <c r="R9" i="8"/>
  <c r="AA8" i="8"/>
  <c r="U8" i="8"/>
  <c r="AD7" i="8"/>
  <c r="X7" i="8"/>
  <c r="R7" i="8"/>
  <c r="W5" i="5"/>
  <c r="AB5" i="5"/>
  <c r="T6" i="5"/>
  <c r="Z6" i="5"/>
  <c r="W7" i="5"/>
  <c r="AC7" i="5"/>
  <c r="Z8" i="5"/>
  <c r="AF8" i="5"/>
  <c r="V9" i="5"/>
  <c r="T10" i="5"/>
  <c r="AF10" i="5"/>
  <c r="W11" i="5"/>
  <c r="AB11" i="5"/>
  <c r="T12" i="5"/>
  <c r="Z12" i="5"/>
  <c r="W13" i="5"/>
  <c r="AC13" i="5"/>
  <c r="Z14" i="5"/>
  <c r="AF14" i="5"/>
  <c r="V15" i="5"/>
  <c r="T16" i="5"/>
  <c r="AF16" i="5"/>
  <c r="W17" i="5"/>
  <c r="AB17" i="5"/>
  <c r="T18" i="5"/>
  <c r="Z18" i="5"/>
  <c r="D19" i="5"/>
  <c r="S4" i="5" s="1"/>
  <c r="E19" i="5"/>
  <c r="T4" i="5" s="1"/>
  <c r="F19" i="5"/>
  <c r="U6" i="5" s="1"/>
  <c r="G19" i="5"/>
  <c r="V6" i="5" s="1"/>
  <c r="H19" i="5"/>
  <c r="W6" i="5" s="1"/>
  <c r="I19" i="5"/>
  <c r="X5" i="5" s="1"/>
  <c r="J19" i="5"/>
  <c r="Y4" i="5" s="1"/>
  <c r="K19" i="5"/>
  <c r="Z4" i="5" s="1"/>
  <c r="L19" i="5"/>
  <c r="AA6" i="5" s="1"/>
  <c r="M19" i="5"/>
  <c r="AB6" i="5" s="1"/>
  <c r="N19" i="5"/>
  <c r="AC6" i="5" s="1"/>
  <c r="O19" i="5"/>
  <c r="AD5" i="5" s="1"/>
  <c r="P19" i="5"/>
  <c r="AE4" i="5" s="1"/>
  <c r="Q19" i="5"/>
  <c r="AF4" i="5" s="1"/>
  <c r="C19" i="5"/>
  <c r="R5" i="5" s="1"/>
  <c r="E29" i="3"/>
  <c r="J25" i="3" s="1"/>
  <c r="F29" i="3"/>
  <c r="K26" i="3" s="1"/>
  <c r="G29" i="3"/>
  <c r="L26" i="3" s="1"/>
  <c r="H29" i="3"/>
  <c r="M26" i="3" s="1"/>
  <c r="L69" i="10" l="1"/>
  <c r="F70" i="10"/>
  <c r="L63" i="10"/>
  <c r="L64" i="10"/>
  <c r="L68" i="10"/>
  <c r="N62" i="10"/>
  <c r="F60" i="10"/>
  <c r="F68" i="10"/>
  <c r="F58" i="10"/>
  <c r="F61" i="10"/>
  <c r="L67" i="10"/>
  <c r="L70" i="10"/>
  <c r="F72" i="10"/>
  <c r="F71" i="10"/>
  <c r="F66" i="10"/>
  <c r="L58" i="10"/>
  <c r="L65" i="10"/>
  <c r="L72" i="10"/>
  <c r="F63" i="10"/>
  <c r="F69" i="10"/>
  <c r="L59" i="10"/>
  <c r="L71" i="10"/>
  <c r="K62" i="10"/>
  <c r="E59" i="10"/>
  <c r="K66" i="10"/>
  <c r="E62" i="10"/>
  <c r="E72" i="10"/>
  <c r="K58" i="10"/>
  <c r="E61" i="10"/>
  <c r="E70" i="10"/>
  <c r="E69" i="10"/>
  <c r="K63" i="10"/>
  <c r="K67" i="10"/>
  <c r="E63" i="10"/>
  <c r="E68" i="10"/>
  <c r="E71" i="10"/>
  <c r="K72" i="10"/>
  <c r="E64" i="10"/>
  <c r="E60" i="10"/>
  <c r="E67" i="10"/>
  <c r="K68" i="10"/>
  <c r="K70" i="10"/>
  <c r="K64" i="10"/>
  <c r="K71" i="10"/>
  <c r="K59" i="10"/>
  <c r="K60" i="10"/>
  <c r="K69" i="10"/>
  <c r="K61" i="10"/>
  <c r="D77" i="15"/>
  <c r="D76" i="15"/>
  <c r="L84" i="15"/>
  <c r="L90" i="15"/>
  <c r="L79" i="15"/>
  <c r="L89" i="15"/>
  <c r="E76" i="15"/>
  <c r="L85" i="15"/>
  <c r="L77" i="15"/>
  <c r="F78" i="15"/>
  <c r="F88" i="15"/>
  <c r="F79" i="15"/>
  <c r="F89" i="15"/>
  <c r="F77" i="15"/>
  <c r="F87" i="15"/>
  <c r="F84" i="15"/>
  <c r="F85" i="15"/>
  <c r="F90" i="15"/>
  <c r="F76" i="15"/>
  <c r="F80" i="15"/>
  <c r="F83" i="15"/>
  <c r="F86" i="15"/>
  <c r="F82" i="15"/>
  <c r="L88" i="15"/>
  <c r="L76" i="15"/>
  <c r="L80" i="15"/>
  <c r="L87" i="15"/>
  <c r="L82" i="15"/>
  <c r="L81" i="15"/>
  <c r="E84" i="15"/>
  <c r="L78" i="15"/>
  <c r="L83" i="15"/>
  <c r="D88" i="15"/>
  <c r="D84" i="15"/>
  <c r="D89" i="15"/>
  <c r="E89" i="15"/>
  <c r="H78" i="15"/>
  <c r="J86" i="15"/>
  <c r="N88" i="15"/>
  <c r="J79" i="15"/>
  <c r="N78" i="15"/>
  <c r="N76" i="15"/>
  <c r="E82" i="15"/>
  <c r="E80" i="15"/>
  <c r="H80" i="15"/>
  <c r="D86" i="15"/>
  <c r="D87" i="15"/>
  <c r="N80" i="15"/>
  <c r="N90" i="15"/>
  <c r="D81" i="15"/>
  <c r="D78" i="15"/>
  <c r="M83" i="15"/>
  <c r="M90" i="15"/>
  <c r="M82" i="15"/>
  <c r="M88" i="15"/>
  <c r="M76" i="15"/>
  <c r="J89" i="15"/>
  <c r="M87" i="15"/>
  <c r="J78" i="15"/>
  <c r="J84" i="15"/>
  <c r="J81" i="15"/>
  <c r="J88" i="15"/>
  <c r="G85" i="15"/>
  <c r="G76" i="15"/>
  <c r="G87" i="15"/>
  <c r="G82" i="15"/>
  <c r="G90" i="15"/>
  <c r="G88" i="15"/>
  <c r="G89" i="15"/>
  <c r="G79" i="15"/>
  <c r="G80" i="15"/>
  <c r="G77" i="15"/>
  <c r="E90" i="15"/>
  <c r="M89" i="15"/>
  <c r="M84" i="15"/>
  <c r="E88" i="15"/>
  <c r="M77" i="15"/>
  <c r="E87" i="15"/>
  <c r="G83" i="15"/>
  <c r="M85" i="15"/>
  <c r="J77" i="15"/>
  <c r="M78" i="15"/>
  <c r="G86" i="15"/>
  <c r="E81" i="15"/>
  <c r="J87" i="15"/>
  <c r="M81" i="15"/>
  <c r="M86" i="15"/>
  <c r="D79" i="15"/>
  <c r="N77" i="15"/>
  <c r="M79" i="15"/>
  <c r="E83" i="15"/>
  <c r="G78" i="15"/>
  <c r="K86" i="15"/>
  <c r="K77" i="15"/>
  <c r="H81" i="15"/>
  <c r="H84" i="15"/>
  <c r="H88" i="15"/>
  <c r="K88" i="15"/>
  <c r="K89" i="15"/>
  <c r="K81" i="15"/>
  <c r="H76" i="15"/>
  <c r="K90" i="15"/>
  <c r="N81" i="15"/>
  <c r="N84" i="15"/>
  <c r="K87" i="15"/>
  <c r="K76" i="15"/>
  <c r="N79" i="15"/>
  <c r="N82" i="15"/>
  <c r="K78" i="15"/>
  <c r="H83" i="15"/>
  <c r="N86" i="15"/>
  <c r="N87" i="15"/>
  <c r="K82" i="15"/>
  <c r="N89" i="15"/>
  <c r="J85" i="15"/>
  <c r="K85" i="15"/>
  <c r="H90" i="15"/>
  <c r="H85" i="15"/>
  <c r="K83" i="15"/>
  <c r="K84" i="15"/>
  <c r="H86" i="15"/>
  <c r="H89" i="15"/>
  <c r="K79" i="15"/>
  <c r="K80" i="15"/>
  <c r="E86" i="15"/>
  <c r="E77" i="15"/>
  <c r="H79" i="15"/>
  <c r="H82" i="15"/>
  <c r="E78" i="15"/>
  <c r="N83" i="15"/>
  <c r="J76" i="15"/>
  <c r="J80" i="15"/>
  <c r="J90" i="15"/>
  <c r="J82" i="15"/>
  <c r="E85" i="15"/>
  <c r="H87" i="15"/>
  <c r="D80" i="15"/>
  <c r="D90" i="15"/>
  <c r="D82" i="15"/>
  <c r="D85" i="15"/>
  <c r="D83" i="15"/>
  <c r="D75" i="14"/>
  <c r="D92" i="14" s="1"/>
  <c r="D76" i="14"/>
  <c r="E88" i="14" s="1"/>
  <c r="D85" i="13"/>
  <c r="E89" i="13"/>
  <c r="D55" i="12"/>
  <c r="D71" i="12" s="1"/>
  <c r="D45" i="12"/>
  <c r="D61" i="12" s="1"/>
  <c r="D48" i="12"/>
  <c r="D64" i="12" s="1"/>
  <c r="D53" i="12"/>
  <c r="D69" i="12" s="1"/>
  <c r="D51" i="12"/>
  <c r="D67" i="12" s="1"/>
  <c r="D54" i="12"/>
  <c r="D70" i="12" s="1"/>
  <c r="D57" i="12"/>
  <c r="D73" i="12" s="1"/>
  <c r="D58" i="12"/>
  <c r="D74" i="12" s="1"/>
  <c r="D46" i="12"/>
  <c r="D62" i="12" s="1"/>
  <c r="D49" i="12"/>
  <c r="D65" i="12" s="1"/>
  <c r="D52" i="12"/>
  <c r="D68" i="12" s="1"/>
  <c r="D50" i="12"/>
  <c r="D66" i="12" s="1"/>
  <c r="D47" i="12"/>
  <c r="D63" i="12" s="1"/>
  <c r="D56" i="12"/>
  <c r="D72" i="12" s="1"/>
  <c r="D53" i="11"/>
  <c r="D69" i="11" s="1"/>
  <c r="D48" i="11"/>
  <c r="D64" i="11" s="1"/>
  <c r="D47" i="11"/>
  <c r="D63" i="11" s="1"/>
  <c r="D58" i="11"/>
  <c r="D74" i="11" s="1"/>
  <c r="D46" i="11"/>
  <c r="D62" i="11" s="1"/>
  <c r="D45" i="11"/>
  <c r="D61" i="11" s="1"/>
  <c r="D51" i="11"/>
  <c r="D67" i="11" s="1"/>
  <c r="D52" i="11"/>
  <c r="D68" i="11" s="1"/>
  <c r="D50" i="11"/>
  <c r="D66" i="11" s="1"/>
  <c r="D55" i="11"/>
  <c r="D71" i="11" s="1"/>
  <c r="D56" i="11"/>
  <c r="D72" i="11" s="1"/>
  <c r="D49" i="11"/>
  <c r="D65" i="11" s="1"/>
  <c r="J58" i="10"/>
  <c r="J63" i="10"/>
  <c r="J61" i="10"/>
  <c r="J65" i="10"/>
  <c r="J71" i="10"/>
  <c r="J70" i="10"/>
  <c r="J66" i="10"/>
  <c r="J72" i="10"/>
  <c r="J59" i="10"/>
  <c r="J69" i="10"/>
  <c r="J60" i="10"/>
  <c r="J62" i="10"/>
  <c r="J67" i="10"/>
  <c r="J64" i="10"/>
  <c r="G55" i="10"/>
  <c r="M62" i="10" s="1"/>
  <c r="G54" i="10"/>
  <c r="G71" i="10" s="1"/>
  <c r="H71" i="10"/>
  <c r="H63" i="10"/>
  <c r="D60" i="10"/>
  <c r="D68" i="10"/>
  <c r="G60" i="10"/>
  <c r="D65" i="10"/>
  <c r="D59" i="10"/>
  <c r="D67" i="10"/>
  <c r="H54" i="10"/>
  <c r="H69" i="10" s="1"/>
  <c r="H58" i="10"/>
  <c r="H55" i="10"/>
  <c r="N69" i="10" s="1"/>
  <c r="D71" i="10"/>
  <c r="D62" i="10"/>
  <c r="D72" i="10"/>
  <c r="D70" i="10"/>
  <c r="D64" i="10"/>
  <c r="F62" i="10"/>
  <c r="F67" i="10"/>
  <c r="F65" i="10"/>
  <c r="D66" i="10"/>
  <c r="D61" i="10"/>
  <c r="D69" i="10"/>
  <c r="E65" i="10"/>
  <c r="E66" i="10"/>
  <c r="D63" i="10"/>
  <c r="M24" i="3"/>
  <c r="M27" i="3"/>
  <c r="M28" i="3"/>
  <c r="M25" i="3"/>
  <c r="L27" i="3"/>
  <c r="L25" i="3"/>
  <c r="L28" i="3"/>
  <c r="L24" i="3"/>
  <c r="K28" i="3"/>
  <c r="K24" i="3"/>
  <c r="K25" i="3"/>
  <c r="K27" i="3"/>
  <c r="J26" i="3"/>
  <c r="J28" i="3"/>
  <c r="J27" i="3"/>
  <c r="J24" i="3"/>
  <c r="S14" i="5"/>
  <c r="AE6" i="5"/>
  <c r="AC9" i="5"/>
  <c r="W4" i="5"/>
  <c r="S18" i="5"/>
  <c r="AE16" i="5"/>
  <c r="AB15" i="5"/>
  <c r="Y14" i="5"/>
  <c r="V13" i="5"/>
  <c r="S12" i="5"/>
  <c r="AE10" i="5"/>
  <c r="AB9" i="5"/>
  <c r="Y8" i="5"/>
  <c r="V7" i="5"/>
  <c r="S6" i="5"/>
  <c r="AE18" i="5"/>
  <c r="AE12" i="5"/>
  <c r="Y10" i="5"/>
  <c r="S8" i="5"/>
  <c r="AD4" i="5"/>
  <c r="X4" i="5"/>
  <c r="AC15" i="5"/>
  <c r="AF18" i="5"/>
  <c r="AC17" i="5"/>
  <c r="Z16" i="5"/>
  <c r="W15" i="5"/>
  <c r="T14" i="5"/>
  <c r="AF12" i="5"/>
  <c r="AC11" i="5"/>
  <c r="Z10" i="5"/>
  <c r="W9" i="5"/>
  <c r="T8" i="5"/>
  <c r="AF6" i="5"/>
  <c r="AC5" i="5"/>
  <c r="Y16" i="5"/>
  <c r="AC4" i="5"/>
  <c r="Y18" i="5"/>
  <c r="V17" i="5"/>
  <c r="S16" i="5"/>
  <c r="AE14" i="5"/>
  <c r="AB13" i="5"/>
  <c r="Y12" i="5"/>
  <c r="V11" i="5"/>
  <c r="S10" i="5"/>
  <c r="AE8" i="5"/>
  <c r="AB7" i="5"/>
  <c r="Y6" i="5"/>
  <c r="V5" i="5"/>
  <c r="AB4" i="5"/>
  <c r="V4" i="5"/>
  <c r="AD18" i="5"/>
  <c r="X18" i="5"/>
  <c r="R18" i="5"/>
  <c r="AA17" i="5"/>
  <c r="U17" i="5"/>
  <c r="AD16" i="5"/>
  <c r="X16" i="5"/>
  <c r="R16" i="5"/>
  <c r="AA15" i="5"/>
  <c r="U15" i="5"/>
  <c r="AD14" i="5"/>
  <c r="X14" i="5"/>
  <c r="R14" i="5"/>
  <c r="AA13" i="5"/>
  <c r="U13" i="5"/>
  <c r="AD12" i="5"/>
  <c r="X12" i="5"/>
  <c r="R12" i="5"/>
  <c r="AA11" i="5"/>
  <c r="U11" i="5"/>
  <c r="AD10" i="5"/>
  <c r="X10" i="5"/>
  <c r="R10" i="5"/>
  <c r="AA9" i="5"/>
  <c r="U9" i="5"/>
  <c r="AD8" i="5"/>
  <c r="X8" i="5"/>
  <c r="R8" i="5"/>
  <c r="AA7" i="5"/>
  <c r="U7" i="5"/>
  <c r="AD6" i="5"/>
  <c r="X6" i="5"/>
  <c r="R6" i="5"/>
  <c r="AA5" i="5"/>
  <c r="U5" i="5"/>
  <c r="R4" i="5"/>
  <c r="AA4" i="5"/>
  <c r="U4" i="5"/>
  <c r="AC18" i="5"/>
  <c r="W18" i="5"/>
  <c r="AF17" i="5"/>
  <c r="Z17" i="5"/>
  <c r="T17" i="5"/>
  <c r="AC16" i="5"/>
  <c r="W16" i="5"/>
  <c r="AF15" i="5"/>
  <c r="Z15" i="5"/>
  <c r="T15" i="5"/>
  <c r="AC14" i="5"/>
  <c r="W14" i="5"/>
  <c r="AF13" i="5"/>
  <c r="Z13" i="5"/>
  <c r="T13" i="5"/>
  <c r="AC12" i="5"/>
  <c r="W12" i="5"/>
  <c r="AF11" i="5"/>
  <c r="Z11" i="5"/>
  <c r="T11" i="5"/>
  <c r="AC10" i="5"/>
  <c r="W10" i="5"/>
  <c r="AF9" i="5"/>
  <c r="Z9" i="5"/>
  <c r="T9" i="5"/>
  <c r="AC8" i="5"/>
  <c r="W8" i="5"/>
  <c r="AF7" i="5"/>
  <c r="Z7" i="5"/>
  <c r="T7" i="5"/>
  <c r="AF5" i="5"/>
  <c r="Z5" i="5"/>
  <c r="T5" i="5"/>
  <c r="AB18" i="5"/>
  <c r="V18" i="5"/>
  <c r="AE17" i="5"/>
  <c r="Y17" i="5"/>
  <c r="S17" i="5"/>
  <c r="AB16" i="5"/>
  <c r="V16" i="5"/>
  <c r="AE15" i="5"/>
  <c r="Y15" i="5"/>
  <c r="S15" i="5"/>
  <c r="AB14" i="5"/>
  <c r="V14" i="5"/>
  <c r="AE13" i="5"/>
  <c r="Y13" i="5"/>
  <c r="S13" i="5"/>
  <c r="AB12" i="5"/>
  <c r="V12" i="5"/>
  <c r="AE11" i="5"/>
  <c r="Y11" i="5"/>
  <c r="S11" i="5"/>
  <c r="AB10" i="5"/>
  <c r="V10" i="5"/>
  <c r="AE9" i="5"/>
  <c r="Y9" i="5"/>
  <c r="S9" i="5"/>
  <c r="AB8" i="5"/>
  <c r="V8" i="5"/>
  <c r="AE7" i="5"/>
  <c r="Y7" i="5"/>
  <c r="S7" i="5"/>
  <c r="AE5" i="5"/>
  <c r="Y5" i="5"/>
  <c r="S5" i="5"/>
  <c r="AA18" i="5"/>
  <c r="U18" i="5"/>
  <c r="AD17" i="5"/>
  <c r="X17" i="5"/>
  <c r="R17" i="5"/>
  <c r="AA16" i="5"/>
  <c r="U16" i="5"/>
  <c r="AD15" i="5"/>
  <c r="X15" i="5"/>
  <c r="R15" i="5"/>
  <c r="AA14" i="5"/>
  <c r="U14" i="5"/>
  <c r="AD13" i="5"/>
  <c r="X13" i="5"/>
  <c r="R13" i="5"/>
  <c r="AA12" i="5"/>
  <c r="U12" i="5"/>
  <c r="AD11" i="5"/>
  <c r="X11" i="5"/>
  <c r="R11" i="5"/>
  <c r="AA10" i="5"/>
  <c r="U10" i="5"/>
  <c r="AD9" i="5"/>
  <c r="X9" i="5"/>
  <c r="R9" i="5"/>
  <c r="AA8" i="5"/>
  <c r="U8" i="5"/>
  <c r="AD7" i="5"/>
  <c r="X7" i="5"/>
  <c r="R7" i="5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R4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C19" i="7"/>
  <c r="G70" i="10" l="1"/>
  <c r="G68" i="10"/>
  <c r="G59" i="10"/>
  <c r="N71" i="10"/>
  <c r="N61" i="10"/>
  <c r="N58" i="10"/>
  <c r="N68" i="10"/>
  <c r="N64" i="10"/>
  <c r="N59" i="10"/>
  <c r="N60" i="10"/>
  <c r="H62" i="10"/>
  <c r="H70" i="10"/>
  <c r="I70" i="10" s="1"/>
  <c r="N72" i="10"/>
  <c r="N63" i="10"/>
  <c r="N66" i="10"/>
  <c r="O66" i="10" s="1"/>
  <c r="N67" i="10"/>
  <c r="N70" i="10"/>
  <c r="N65" i="10"/>
  <c r="O65" i="10" s="1"/>
  <c r="M68" i="10"/>
  <c r="O68" i="10" s="1"/>
  <c r="M59" i="10"/>
  <c r="O62" i="10"/>
  <c r="M70" i="10"/>
  <c r="M63" i="10"/>
  <c r="M58" i="10"/>
  <c r="O58" i="10" s="1"/>
  <c r="M72" i="10"/>
  <c r="I71" i="10"/>
  <c r="M64" i="10"/>
  <c r="M71" i="10"/>
  <c r="O71" i="10" s="1"/>
  <c r="M65" i="10"/>
  <c r="M69" i="10"/>
  <c r="M60" i="10"/>
  <c r="O60" i="10" s="1"/>
  <c r="M66" i="10"/>
  <c r="M61" i="10"/>
  <c r="O61" i="10" s="1"/>
  <c r="M67" i="10"/>
  <c r="O67" i="10" s="1"/>
  <c r="O72" i="10"/>
  <c r="O69" i="10"/>
  <c r="I77" i="15"/>
  <c r="I84" i="15"/>
  <c r="O81" i="15"/>
  <c r="O80" i="15"/>
  <c r="I88" i="15"/>
  <c r="I78" i="15"/>
  <c r="O83" i="15"/>
  <c r="I81" i="15"/>
  <c r="I79" i="15"/>
  <c r="I76" i="15"/>
  <c r="O90" i="15"/>
  <c r="I80" i="15"/>
  <c r="D97" i="15" s="1"/>
  <c r="O76" i="15"/>
  <c r="O88" i="15"/>
  <c r="I87" i="15"/>
  <c r="O84" i="15"/>
  <c r="I83" i="15"/>
  <c r="I86" i="15"/>
  <c r="O85" i="15"/>
  <c r="O78" i="15"/>
  <c r="O86" i="15"/>
  <c r="O89" i="15"/>
  <c r="O79" i="15"/>
  <c r="O87" i="15"/>
  <c r="I90" i="15"/>
  <c r="O82" i="15"/>
  <c r="I89" i="15"/>
  <c r="O77" i="15"/>
  <c r="I85" i="15"/>
  <c r="I82" i="15"/>
  <c r="D79" i="14"/>
  <c r="D85" i="14"/>
  <c r="D81" i="14"/>
  <c r="D91" i="14"/>
  <c r="D86" i="14"/>
  <c r="E91" i="14"/>
  <c r="D108" i="14" s="1"/>
  <c r="D80" i="14"/>
  <c r="D82" i="14"/>
  <c r="E79" i="14"/>
  <c r="D96" i="14" s="1"/>
  <c r="E80" i="14"/>
  <c r="D84" i="14"/>
  <c r="D93" i="14"/>
  <c r="E82" i="14"/>
  <c r="E86" i="14"/>
  <c r="E93" i="14"/>
  <c r="E83" i="14"/>
  <c r="D87" i="14"/>
  <c r="E89" i="14"/>
  <c r="D90" i="14"/>
  <c r="E92" i="14"/>
  <c r="D109" i="14" s="1"/>
  <c r="D88" i="14"/>
  <c r="D105" i="14" s="1"/>
  <c r="E85" i="14"/>
  <c r="D102" i="14" s="1"/>
  <c r="E81" i="14"/>
  <c r="D98" i="14" s="1"/>
  <c r="E84" i="14"/>
  <c r="D101" i="14" s="1"/>
  <c r="D83" i="14"/>
  <c r="E87" i="14"/>
  <c r="D89" i="14"/>
  <c r="E90" i="14"/>
  <c r="D84" i="13"/>
  <c r="D91" i="13"/>
  <c r="D81" i="13"/>
  <c r="D92" i="13"/>
  <c r="D83" i="13"/>
  <c r="D88" i="13"/>
  <c r="D90" i="13"/>
  <c r="D82" i="13"/>
  <c r="D87" i="13"/>
  <c r="D86" i="13"/>
  <c r="D89" i="13"/>
  <c r="D106" i="13" s="1"/>
  <c r="D79" i="13"/>
  <c r="D80" i="13"/>
  <c r="D93" i="13"/>
  <c r="E91" i="13"/>
  <c r="E79" i="13"/>
  <c r="E85" i="13"/>
  <c r="D102" i="13" s="1"/>
  <c r="E87" i="13"/>
  <c r="E80" i="13"/>
  <c r="D97" i="13" s="1"/>
  <c r="E86" i="13"/>
  <c r="E82" i="13"/>
  <c r="E93" i="13"/>
  <c r="E88" i="13"/>
  <c r="E81" i="13"/>
  <c r="E90" i="13"/>
  <c r="D107" i="13" s="1"/>
  <c r="E84" i="13"/>
  <c r="E83" i="13"/>
  <c r="E92" i="13"/>
  <c r="D109" i="13" s="1"/>
  <c r="D79" i="12"/>
  <c r="E79" i="12"/>
  <c r="D83" i="12"/>
  <c r="D75" i="11"/>
  <c r="D86" i="11" s="1"/>
  <c r="D76" i="11"/>
  <c r="E91" i="11" s="1"/>
  <c r="D79" i="11"/>
  <c r="E90" i="11"/>
  <c r="E84" i="11"/>
  <c r="E92" i="11"/>
  <c r="E87" i="11"/>
  <c r="E93" i="11"/>
  <c r="E89" i="11"/>
  <c r="E86" i="11"/>
  <c r="D93" i="11"/>
  <c r="D89" i="11"/>
  <c r="D81" i="11"/>
  <c r="D84" i="11"/>
  <c r="D91" i="11"/>
  <c r="D90" i="11"/>
  <c r="D80" i="11"/>
  <c r="D85" i="11"/>
  <c r="D82" i="11"/>
  <c r="D83" i="11"/>
  <c r="D88" i="11"/>
  <c r="D92" i="11"/>
  <c r="D87" i="11"/>
  <c r="H61" i="10"/>
  <c r="H72" i="10"/>
  <c r="H65" i="10"/>
  <c r="H64" i="10"/>
  <c r="G61" i="10"/>
  <c r="G62" i="10"/>
  <c r="G64" i="10"/>
  <c r="I64" i="10" s="1"/>
  <c r="G69" i="10"/>
  <c r="I69" i="10" s="1"/>
  <c r="G65" i="10"/>
  <c r="I65" i="10" s="1"/>
  <c r="G67" i="10"/>
  <c r="H68" i="10"/>
  <c r="I68" i="10" s="1"/>
  <c r="D85" i="10" s="1"/>
  <c r="G72" i="10"/>
  <c r="H67" i="10"/>
  <c r="G66" i="10"/>
  <c r="I66" i="10" s="1"/>
  <c r="H60" i="10"/>
  <c r="I60" i="10" s="1"/>
  <c r="H59" i="10"/>
  <c r="H66" i="10"/>
  <c r="G63" i="10"/>
  <c r="I63" i="10" s="1"/>
  <c r="G58" i="10"/>
  <c r="I58" i="10" s="1"/>
  <c r="P19" i="4"/>
  <c r="O19" i="4"/>
  <c r="N19" i="4"/>
  <c r="M19" i="4"/>
  <c r="K19" i="4"/>
  <c r="J19" i="4"/>
  <c r="I19" i="4"/>
  <c r="H19" i="4"/>
  <c r="G19" i="4"/>
  <c r="E19" i="4"/>
  <c r="I72" i="10" l="1"/>
  <c r="D89" i="10" s="1"/>
  <c r="I62" i="10"/>
  <c r="D79" i="10" s="1"/>
  <c r="D88" i="10"/>
  <c r="O70" i="10"/>
  <c r="I59" i="10"/>
  <c r="O59" i="10"/>
  <c r="O63" i="10"/>
  <c r="O64" i="10"/>
  <c r="D81" i="10" s="1"/>
  <c r="D76" i="10"/>
  <c r="I67" i="10"/>
  <c r="D84" i="10" s="1"/>
  <c r="D82" i="10"/>
  <c r="D75" i="10"/>
  <c r="D87" i="10"/>
  <c r="I61" i="10"/>
  <c r="D78" i="10" s="1"/>
  <c r="D86" i="10"/>
  <c r="D77" i="10"/>
  <c r="D80" i="10"/>
  <c r="D83" i="10"/>
  <c r="D106" i="15"/>
  <c r="D94" i="15"/>
  <c r="D101" i="15"/>
  <c r="D98" i="15"/>
  <c r="D102" i="15"/>
  <c r="D95" i="15"/>
  <c r="D105" i="15"/>
  <c r="D96" i="15"/>
  <c r="D93" i="15"/>
  <c r="D100" i="15"/>
  <c r="D103" i="15"/>
  <c r="D107" i="15"/>
  <c r="D104" i="15"/>
  <c r="D99" i="15"/>
  <c r="D97" i="14"/>
  <c r="D110" i="14"/>
  <c r="D107" i="14"/>
  <c r="D100" i="14"/>
  <c r="D104" i="14"/>
  <c r="D103" i="14"/>
  <c r="D99" i="14"/>
  <c r="D106" i="14"/>
  <c r="D108" i="13"/>
  <c r="D101" i="13"/>
  <c r="D105" i="13"/>
  <c r="D96" i="13"/>
  <c r="D103" i="13"/>
  <c r="D98" i="13"/>
  <c r="D104" i="13"/>
  <c r="D110" i="13"/>
  <c r="D100" i="13"/>
  <c r="D99" i="13"/>
  <c r="D88" i="12"/>
  <c r="E91" i="12"/>
  <c r="D85" i="12"/>
  <c r="D92" i="12"/>
  <c r="E87" i="12"/>
  <c r="D81" i="12"/>
  <c r="E88" i="12"/>
  <c r="D105" i="12" s="1"/>
  <c r="D91" i="12"/>
  <c r="D93" i="12"/>
  <c r="D82" i="12"/>
  <c r="E92" i="12"/>
  <c r="D109" i="12" s="1"/>
  <c r="E81" i="12"/>
  <c r="D98" i="12" s="1"/>
  <c r="E86" i="12"/>
  <c r="D90" i="12"/>
  <c r="E83" i="12"/>
  <c r="D100" i="12" s="1"/>
  <c r="E85" i="12"/>
  <c r="E93" i="12"/>
  <c r="E82" i="12"/>
  <c r="D99" i="12" s="1"/>
  <c r="D84" i="12"/>
  <c r="D86" i="12"/>
  <c r="E89" i="12"/>
  <c r="E80" i="12"/>
  <c r="E84" i="12"/>
  <c r="D87" i="12"/>
  <c r="D89" i="12"/>
  <c r="E90" i="12"/>
  <c r="D107" i="12" s="1"/>
  <c r="D80" i="12"/>
  <c r="E85" i="11"/>
  <c r="E80" i="11"/>
  <c r="E81" i="11"/>
  <c r="E83" i="11"/>
  <c r="E82" i="11"/>
  <c r="E88" i="11"/>
  <c r="E79" i="11"/>
  <c r="AE7" i="4"/>
  <c r="AE16" i="4"/>
  <c r="AE5" i="4"/>
  <c r="AE8" i="4"/>
  <c r="AE11" i="4"/>
  <c r="AE14" i="4"/>
  <c r="AE6" i="4"/>
  <c r="AE9" i="4"/>
  <c r="AE12" i="4"/>
  <c r="AE15" i="4"/>
  <c r="AE18" i="4"/>
  <c r="AE10" i="4"/>
  <c r="AE13" i="4"/>
  <c r="AE4" i="4"/>
  <c r="AE17" i="4"/>
  <c r="AD5" i="4"/>
  <c r="AD13" i="4"/>
  <c r="AD4" i="4"/>
  <c r="AD10" i="4"/>
  <c r="AD14" i="4"/>
  <c r="AD18" i="4"/>
  <c r="AD7" i="4"/>
  <c r="AD11" i="4"/>
  <c r="AD17" i="4"/>
  <c r="AD12" i="4"/>
  <c r="AD9" i="4"/>
  <c r="AD15" i="4"/>
  <c r="AD16" i="4"/>
  <c r="AD8" i="4"/>
  <c r="AD6" i="4"/>
  <c r="AC6" i="4"/>
  <c r="AC12" i="4"/>
  <c r="AC15" i="4"/>
  <c r="AC18" i="4"/>
  <c r="AC10" i="4"/>
  <c r="AC8" i="4"/>
  <c r="AC14" i="4"/>
  <c r="AC17" i="4"/>
  <c r="AC7" i="4"/>
  <c r="AC16" i="4"/>
  <c r="AC5" i="4"/>
  <c r="AC11" i="4"/>
  <c r="AC13" i="4"/>
  <c r="AC4" i="4"/>
  <c r="AC9" i="4"/>
  <c r="AB7" i="4"/>
  <c r="AB13" i="4"/>
  <c r="AB4" i="4"/>
  <c r="AB9" i="4"/>
  <c r="AB6" i="4"/>
  <c r="AB12" i="4"/>
  <c r="AB18" i="4"/>
  <c r="AB10" i="4"/>
  <c r="AB15" i="4"/>
  <c r="AB5" i="4"/>
  <c r="AB11" i="4"/>
  <c r="AB17" i="4"/>
  <c r="AB8" i="4"/>
  <c r="AB14" i="4"/>
  <c r="AB16" i="4"/>
  <c r="Z9" i="4"/>
  <c r="Z15" i="4"/>
  <c r="Z13" i="4"/>
  <c r="Z10" i="4"/>
  <c r="Z16" i="4"/>
  <c r="Z8" i="4"/>
  <c r="Z5" i="4"/>
  <c r="Z11" i="4"/>
  <c r="Z17" i="4"/>
  <c r="Z6" i="4"/>
  <c r="Z12" i="4"/>
  <c r="Z18" i="4"/>
  <c r="Z7" i="4"/>
  <c r="Z4" i="4"/>
  <c r="Z14" i="4"/>
  <c r="Y7" i="4"/>
  <c r="Y16" i="4"/>
  <c r="Y5" i="4"/>
  <c r="Y8" i="4"/>
  <c r="Y11" i="4"/>
  <c r="Y14" i="4"/>
  <c r="Y17" i="4"/>
  <c r="Y6" i="4"/>
  <c r="Y9" i="4"/>
  <c r="Y12" i="4"/>
  <c r="Y15" i="4"/>
  <c r="Y18" i="4"/>
  <c r="Y10" i="4"/>
  <c r="Y13" i="4"/>
  <c r="Y4" i="4"/>
  <c r="X11" i="4"/>
  <c r="X7" i="4"/>
  <c r="X5" i="4"/>
  <c r="X9" i="4"/>
  <c r="X13" i="4"/>
  <c r="X15" i="4"/>
  <c r="X17" i="4"/>
  <c r="X4" i="4"/>
  <c r="X8" i="4"/>
  <c r="X10" i="4"/>
  <c r="X14" i="4"/>
  <c r="X16" i="4"/>
  <c r="X18" i="4"/>
  <c r="X12" i="4"/>
  <c r="X6" i="4"/>
  <c r="W6" i="4"/>
  <c r="W8" i="4"/>
  <c r="W17" i="4"/>
  <c r="W5" i="4"/>
  <c r="W11" i="4"/>
  <c r="W14" i="4"/>
  <c r="W15" i="4"/>
  <c r="W7" i="4"/>
  <c r="W10" i="4"/>
  <c r="W13" i="4"/>
  <c r="W16" i="4"/>
  <c r="W4" i="4"/>
  <c r="W18" i="4"/>
  <c r="W9" i="4"/>
  <c r="W12" i="4"/>
  <c r="V7" i="4"/>
  <c r="V13" i="4"/>
  <c r="V6" i="4"/>
  <c r="V12" i="4"/>
  <c r="V18" i="4"/>
  <c r="V5" i="4"/>
  <c r="V11" i="4"/>
  <c r="V17" i="4"/>
  <c r="V9" i="4"/>
  <c r="V10" i="4"/>
  <c r="V16" i="4"/>
  <c r="V15" i="4"/>
  <c r="V8" i="4"/>
  <c r="V14" i="4"/>
  <c r="V4" i="4"/>
  <c r="T9" i="4"/>
  <c r="T15" i="4"/>
  <c r="T4" i="4"/>
  <c r="T10" i="4"/>
  <c r="T16" i="4"/>
  <c r="T7" i="4"/>
  <c r="T5" i="4"/>
  <c r="T11" i="4"/>
  <c r="T17" i="4"/>
  <c r="T13" i="4"/>
  <c r="T6" i="4"/>
  <c r="T12" i="4"/>
  <c r="T18" i="4"/>
  <c r="T8" i="4"/>
  <c r="T14" i="4"/>
  <c r="F19" i="4"/>
  <c r="L19" i="4"/>
  <c r="D19" i="4"/>
  <c r="C19" i="4"/>
  <c r="D101" i="12" l="1"/>
  <c r="D106" i="12"/>
  <c r="D110" i="12"/>
  <c r="D104" i="12"/>
  <c r="D97" i="12"/>
  <c r="D102" i="12"/>
  <c r="D108" i="12"/>
  <c r="D103" i="12"/>
  <c r="AA7" i="4"/>
  <c r="AA16" i="4"/>
  <c r="AA6" i="4"/>
  <c r="AA15" i="4"/>
  <c r="AA5" i="4"/>
  <c r="AA10" i="4"/>
  <c r="AA13" i="4"/>
  <c r="AA18" i="4"/>
  <c r="AA8" i="4"/>
  <c r="AA11" i="4"/>
  <c r="AA12" i="4"/>
  <c r="AA14" i="4"/>
  <c r="AA17" i="4"/>
  <c r="AA4" i="4"/>
  <c r="AA9" i="4"/>
  <c r="U8" i="4"/>
  <c r="U6" i="4"/>
  <c r="U10" i="4"/>
  <c r="U13" i="4"/>
  <c r="U16" i="4"/>
  <c r="U18" i="4"/>
  <c r="U5" i="4"/>
  <c r="U11" i="4"/>
  <c r="U12" i="4"/>
  <c r="U14" i="4"/>
  <c r="U15" i="4"/>
  <c r="U17" i="4"/>
  <c r="U4" i="4"/>
  <c r="U9" i="4"/>
  <c r="U7" i="4"/>
  <c r="S7" i="4"/>
  <c r="S4" i="4"/>
  <c r="S8" i="4"/>
  <c r="S5" i="4"/>
  <c r="S11" i="4"/>
  <c r="S14" i="4"/>
  <c r="S18" i="4"/>
  <c r="S6" i="4"/>
  <c r="S9" i="4"/>
  <c r="S12" i="4"/>
  <c r="S15" i="4"/>
  <c r="S10" i="4"/>
  <c r="S13" i="4"/>
  <c r="S16" i="4"/>
  <c r="S17" i="4"/>
  <c r="R9" i="4"/>
  <c r="R7" i="4"/>
  <c r="R13" i="4"/>
  <c r="R15" i="4"/>
  <c r="R5" i="4"/>
  <c r="R11" i="4"/>
  <c r="R17" i="4"/>
  <c r="R4" i="4"/>
  <c r="R8" i="4"/>
  <c r="R10" i="4"/>
  <c r="R14" i="4"/>
  <c r="R16" i="4"/>
  <c r="R6" i="4"/>
  <c r="R12" i="4"/>
  <c r="R18" i="4"/>
  <c r="AG12" i="8"/>
  <c r="H42" i="3" s="1"/>
  <c r="AG15" i="8"/>
  <c r="H45" i="3" s="1"/>
  <c r="AG8" i="8"/>
  <c r="H38" i="3" s="1"/>
  <c r="AG5" i="8"/>
  <c r="H35" i="3" s="1"/>
  <c r="AG10" i="8"/>
  <c r="H40" i="3" s="1"/>
  <c r="AG15" i="7"/>
  <c r="G45" i="3" s="1"/>
  <c r="AG18" i="7"/>
  <c r="G48" i="3" s="1"/>
  <c r="AG16" i="7"/>
  <c r="G46" i="3" s="1"/>
  <c r="AG17" i="5"/>
  <c r="E47" i="3" s="1"/>
  <c r="AG7" i="5"/>
  <c r="E37" i="3" s="1"/>
  <c r="AG10" i="5"/>
  <c r="E40" i="3" s="1"/>
  <c r="AG16" i="5"/>
  <c r="E46" i="3" s="1"/>
  <c r="AG6" i="7" l="1"/>
  <c r="G36" i="3" s="1"/>
  <c r="AG9" i="7"/>
  <c r="G39" i="3" s="1"/>
  <c r="AG11" i="7"/>
  <c r="G41" i="3" s="1"/>
  <c r="AG12" i="7"/>
  <c r="G42" i="3" s="1"/>
  <c r="AG5" i="7"/>
  <c r="G35" i="3" s="1"/>
  <c r="AG8" i="7"/>
  <c r="G38" i="3" s="1"/>
  <c r="AG10" i="6"/>
  <c r="F40" i="3" s="1"/>
  <c r="AG18" i="6"/>
  <c r="F48" i="3" s="1"/>
  <c r="AG9" i="6"/>
  <c r="F39" i="3" s="1"/>
  <c r="AG12" i="6"/>
  <c r="F42" i="3" s="1"/>
  <c r="AG6" i="6"/>
  <c r="F36" i="3" s="1"/>
  <c r="AG8" i="6"/>
  <c r="F38" i="3" s="1"/>
  <c r="AG7" i="6"/>
  <c r="F37" i="3" s="1"/>
  <c r="AG14" i="6"/>
  <c r="F44" i="3" s="1"/>
  <c r="AG11" i="6"/>
  <c r="F41" i="3" s="1"/>
  <c r="AG5" i="6"/>
  <c r="F35" i="3" s="1"/>
  <c r="AG17" i="6"/>
  <c r="F47" i="3" s="1"/>
  <c r="AG13" i="6"/>
  <c r="F43" i="3" s="1"/>
  <c r="AG4" i="6"/>
  <c r="F34" i="3" s="1"/>
  <c r="AG16" i="6"/>
  <c r="F46" i="3" s="1"/>
  <c r="AG15" i="6"/>
  <c r="F45" i="3" s="1"/>
  <c r="AG9" i="8"/>
  <c r="H39" i="3" s="1"/>
  <c r="AG16" i="8"/>
  <c r="H46" i="3" s="1"/>
  <c r="AG4" i="8"/>
  <c r="H34" i="3" s="1"/>
  <c r="AG14" i="8"/>
  <c r="H44" i="3" s="1"/>
  <c r="AG7" i="8"/>
  <c r="H37" i="3" s="1"/>
  <c r="AG18" i="8"/>
  <c r="H48" i="3" s="1"/>
  <c r="AG13" i="8"/>
  <c r="H43" i="3" s="1"/>
  <c r="AG11" i="8"/>
  <c r="H41" i="3" s="1"/>
  <c r="AG17" i="8"/>
  <c r="H47" i="3" s="1"/>
  <c r="AG6" i="8"/>
  <c r="H36" i="3" s="1"/>
  <c r="AG4" i="7"/>
  <c r="G34" i="3" s="1"/>
  <c r="AG14" i="7"/>
  <c r="G44" i="3" s="1"/>
  <c r="AG17" i="7"/>
  <c r="G47" i="3" s="1"/>
  <c r="AG7" i="7"/>
  <c r="G37" i="3" s="1"/>
  <c r="AG13" i="7"/>
  <c r="G43" i="3" s="1"/>
  <c r="AG10" i="7"/>
  <c r="G40" i="3" s="1"/>
  <c r="AG15" i="5"/>
  <c r="E45" i="3" s="1"/>
  <c r="AG12" i="5"/>
  <c r="E42" i="3" s="1"/>
  <c r="AG13" i="5"/>
  <c r="E43" i="3" s="1"/>
  <c r="AG4" i="5"/>
  <c r="E34" i="3" s="1"/>
  <c r="AG18" i="5"/>
  <c r="E48" i="3" s="1"/>
  <c r="AG6" i="5"/>
  <c r="E36" i="3" s="1"/>
  <c r="AG5" i="5"/>
  <c r="E35" i="3" s="1"/>
  <c r="AG8" i="5"/>
  <c r="E38" i="3" s="1"/>
  <c r="AG14" i="5"/>
  <c r="E44" i="3" s="1"/>
  <c r="AG9" i="5"/>
  <c r="E39" i="3" s="1"/>
  <c r="AG11" i="5"/>
  <c r="E41" i="3" s="1"/>
  <c r="D29" i="3"/>
  <c r="I24" i="3" s="1"/>
  <c r="N24" i="3" s="1"/>
  <c r="D49" i="3" s="1"/>
  <c r="I27" i="3" l="1"/>
  <c r="N27" i="3" s="1"/>
  <c r="G49" i="3" s="1"/>
  <c r="I28" i="3"/>
  <c r="N28" i="3" s="1"/>
  <c r="H49" i="3" s="1"/>
  <c r="I25" i="3"/>
  <c r="N25" i="3" s="1"/>
  <c r="E49" i="3" s="1"/>
  <c r="I26" i="3"/>
  <c r="N26" i="3" s="1"/>
  <c r="F49" i="3" s="1"/>
  <c r="J16" i="3" l="1"/>
  <c r="K16" i="3" s="1"/>
  <c r="J17" i="3"/>
  <c r="K17" i="3" s="1"/>
  <c r="J15" i="3"/>
  <c r="K15" i="3" s="1"/>
  <c r="J18" i="3"/>
  <c r="K18" i="3" s="1"/>
  <c r="Q13" i="3" l="1"/>
  <c r="Q14" i="3" s="1"/>
  <c r="Q19" i="4"/>
  <c r="AF18" i="4" s="1"/>
  <c r="AG18" i="4" s="1"/>
  <c r="D48" i="3" s="1"/>
  <c r="I48" i="3" s="1"/>
  <c r="AF15" i="4" l="1"/>
  <c r="AG15" i="4" s="1"/>
  <c r="D45" i="3" s="1"/>
  <c r="I45" i="3" s="1"/>
  <c r="AF6" i="4"/>
  <c r="AG6" i="4" s="1"/>
  <c r="D36" i="3" s="1"/>
  <c r="I36" i="3" s="1"/>
  <c r="AF10" i="4"/>
  <c r="AG10" i="4" s="1"/>
  <c r="D40" i="3" s="1"/>
  <c r="I40" i="3" s="1"/>
  <c r="AF16" i="4"/>
  <c r="AG16" i="4" s="1"/>
  <c r="D46" i="3" s="1"/>
  <c r="I46" i="3" s="1"/>
  <c r="AF17" i="4"/>
  <c r="AG17" i="4" s="1"/>
  <c r="D47" i="3" s="1"/>
  <c r="I47" i="3" s="1"/>
  <c r="AF9" i="4"/>
  <c r="AG9" i="4" s="1"/>
  <c r="D39" i="3" s="1"/>
  <c r="I39" i="3" s="1"/>
  <c r="AF5" i="4"/>
  <c r="AG5" i="4" s="1"/>
  <c r="D35" i="3" s="1"/>
  <c r="I35" i="3" s="1"/>
  <c r="AF13" i="4"/>
  <c r="AG13" i="4" s="1"/>
  <c r="D43" i="3" s="1"/>
  <c r="I43" i="3" s="1"/>
  <c r="AF12" i="4"/>
  <c r="AG12" i="4" s="1"/>
  <c r="D42" i="3" s="1"/>
  <c r="I42" i="3" s="1"/>
  <c r="AF14" i="4"/>
  <c r="AG14" i="4" s="1"/>
  <c r="D44" i="3" s="1"/>
  <c r="I44" i="3" s="1"/>
  <c r="AF8" i="4"/>
  <c r="AG8" i="4" s="1"/>
  <c r="D38" i="3" s="1"/>
  <c r="I38" i="3" s="1"/>
  <c r="AF7" i="4"/>
  <c r="AG7" i="4" s="1"/>
  <c r="D37" i="3" s="1"/>
  <c r="I37" i="3" s="1"/>
  <c r="AF4" i="4"/>
  <c r="AG4" i="4" s="1"/>
  <c r="AF11" i="4"/>
  <c r="AG11" i="4" s="1"/>
  <c r="D41" i="3" s="1"/>
  <c r="I41" i="3" s="1"/>
  <c r="I34" i="3" l="1"/>
  <c r="C2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<sst xmlns="http://schemas.openxmlformats.org/spreadsheetml/2006/main" count="1058" uniqueCount="67">
  <si>
    <t>Alternativas</t>
  </si>
  <si>
    <t>Criterios</t>
  </si>
  <si>
    <t>Técnico</t>
  </si>
  <si>
    <t>Social</t>
  </si>
  <si>
    <t>Comercial</t>
  </si>
  <si>
    <t>Ambiental</t>
  </si>
  <si>
    <t>Económico</t>
  </si>
  <si>
    <t>Total</t>
  </si>
  <si>
    <t>Matriz normalizada</t>
  </si>
  <si>
    <t>Ponderación</t>
  </si>
  <si>
    <t>CR=CI/RI</t>
  </si>
  <si>
    <t>Criterio Técnico</t>
  </si>
  <si>
    <t>Vector Promedio</t>
  </si>
  <si>
    <t>Criterio Social</t>
  </si>
  <si>
    <t>Criterio Comercial</t>
  </si>
  <si>
    <t>Criterio Ambiental</t>
  </si>
  <si>
    <t>Priorización</t>
  </si>
  <si>
    <t>Criterio Económico</t>
  </si>
  <si>
    <t>Esperanza</t>
  </si>
  <si>
    <t>Placeres</t>
  </si>
  <si>
    <t>Padre Demian Molokai</t>
  </si>
  <si>
    <t>Rodelillo</t>
  </si>
  <si>
    <t>Baron</t>
  </si>
  <si>
    <t>Reina Isabel 2</t>
  </si>
  <si>
    <t>Jean y Marie Thierry</t>
  </si>
  <si>
    <t>Las Cañas</t>
  </si>
  <si>
    <t>Plaza Justicia</t>
  </si>
  <si>
    <t>Marcelo Mena</t>
  </si>
  <si>
    <t>Quebrada Verde</t>
  </si>
  <si>
    <t>Cordillera</t>
  </si>
  <si>
    <t>Puertas Negras</t>
  </si>
  <si>
    <t>Laguna Verde</t>
  </si>
  <si>
    <t>Placilla</t>
  </si>
  <si>
    <t>Capacidad técnica de la red eléctrica</t>
  </si>
  <si>
    <t>Costos de instalación, operación y mantenimiento</t>
  </si>
  <si>
    <t>Cantidad de Personas beneficiadas</t>
  </si>
  <si>
    <t>Calles con ato flujo y emisiones de CO2</t>
  </si>
  <si>
    <t>Cercanica y fomento al turismo y comercio</t>
  </si>
  <si>
    <t>Importancia o Jerarquia de Criterios</t>
  </si>
  <si>
    <t>Resultado AHP</t>
  </si>
  <si>
    <t>Datos cuantificados de los criterios y alternativas</t>
  </si>
  <si>
    <t>cocientes</t>
  </si>
  <si>
    <r>
      <t>CI=(</t>
    </r>
    <r>
      <rPr>
        <sz val="11"/>
        <color theme="1"/>
        <rFont val="Aptos Narrow"/>
        <family val="2"/>
      </rPr>
      <t>λ</t>
    </r>
    <r>
      <rPr>
        <sz val="11"/>
        <color theme="1"/>
        <rFont val="Times New Roman"/>
        <family val="1"/>
      </rPr>
      <t>max-n)/(n-1)</t>
    </r>
  </si>
  <si>
    <t>Axw</t>
  </si>
  <si>
    <t>n</t>
  </si>
  <si>
    <t>λmax</t>
  </si>
  <si>
    <t>RI</t>
  </si>
  <si>
    <t>MVA dispo</t>
  </si>
  <si>
    <t>estand</t>
  </si>
  <si>
    <t>comp</t>
  </si>
  <si>
    <t>ressult</t>
  </si>
  <si>
    <t>saaty</t>
  </si>
  <si>
    <t xml:space="preserve">Pesos: </t>
  </si>
  <si>
    <t>Ranking</t>
  </si>
  <si>
    <t>Ideal +</t>
  </si>
  <si>
    <t>Ideal -</t>
  </si>
  <si>
    <t>Dis</t>
  </si>
  <si>
    <t>Cercania Ideal +</t>
  </si>
  <si>
    <t>Cercania Ideal -</t>
  </si>
  <si>
    <t>Coeficiente de cercania</t>
  </si>
  <si>
    <t>Coef</t>
  </si>
  <si>
    <t>Cantidad de personas total</t>
  </si>
  <si>
    <t>Cantidad de personas por vulnerabilidd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</si>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</sst>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9" formatCode="&quot;$&quot;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20" xfId="0" applyNumberFormat="1" applyFont="1" applyBorder="1" applyAlignment="1">
      <alignment horizontal="center" vertical="center" wrapText="1"/>
    </xf>
    <xf numFmtId="164" fontId="1" fillId="0" borderId="30" xfId="0" applyNumberFormat="1" applyFont="1" applyBorder="1" applyAlignment="1">
      <alignment horizontal="center" vertical="center" wrapText="1"/>
    </xf>
    <xf numFmtId="164" fontId="1" fillId="0" borderId="26" xfId="0" applyNumberFormat="1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0" borderId="0" xfId="0" applyFont="1"/>
    <xf numFmtId="0" fontId="1" fillId="3" borderId="1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3" borderId="28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>
      <alignment horizontal="center" vertical="center" wrapText="1"/>
    </xf>
    <xf numFmtId="164" fontId="1" fillId="0" borderId="32" xfId="0" applyNumberFormat="1" applyFont="1" applyBorder="1" applyAlignment="1">
      <alignment horizontal="center" vertical="center" wrapText="1"/>
    </xf>
    <xf numFmtId="164" fontId="1" fillId="0" borderId="3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" fontId="1" fillId="0" borderId="36" xfId="0" applyNumberFormat="1" applyFon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164" fontId="1" fillId="0" borderId="35" xfId="0" applyNumberFormat="1" applyFont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1" fillId="0" borderId="44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>
      <alignment horizontal="center" vertical="center" wrapText="1"/>
    </xf>
    <xf numFmtId="164" fontId="1" fillId="0" borderId="23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4" xfId="0" applyNumberFormat="1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5" fontId="0" fillId="0" borderId="6" xfId="0" applyNumberFormat="1" applyBorder="1" applyAlignment="1">
      <alignment vertical="center" wrapText="1"/>
    </xf>
    <xf numFmtId="165" fontId="0" fillId="0" borderId="7" xfId="0" applyNumberFormat="1" applyBorder="1" applyAlignment="1">
      <alignment vertical="center" wrapText="1"/>
    </xf>
    <xf numFmtId="165" fontId="0" fillId="0" borderId="8" xfId="0" applyNumberFormat="1" applyBorder="1" applyAlignment="1">
      <alignment vertical="center" wrapText="1"/>
    </xf>
    <xf numFmtId="165" fontId="0" fillId="0" borderId="9" xfId="0" applyNumberFormat="1" applyBorder="1" applyAlignment="1">
      <alignment vertical="center" wrapText="1"/>
    </xf>
    <xf numFmtId="165" fontId="0" fillId="0" borderId="10" xfId="0" applyNumberFormat="1" applyBorder="1" applyAlignment="1">
      <alignment vertical="center" wrapText="1"/>
    </xf>
    <xf numFmtId="165" fontId="0" fillId="0" borderId="11" xfId="0" applyNumberFormat="1" applyBorder="1" applyAlignment="1">
      <alignment vertical="center" wrapText="1"/>
    </xf>
    <xf numFmtId="2" fontId="0" fillId="0" borderId="11" xfId="0" applyNumberFormat="1" applyBorder="1"/>
    <xf numFmtId="2" fontId="0" fillId="0" borderId="10" xfId="0" applyNumberFormat="1" applyBorder="1"/>
    <xf numFmtId="2" fontId="0" fillId="0" borderId="9" xfId="0" applyNumberFormat="1" applyBorder="1"/>
    <xf numFmtId="2" fontId="0" fillId="0" borderId="8" xfId="0" applyNumberFormat="1" applyBorder="1"/>
    <xf numFmtId="2" fontId="0" fillId="0" borderId="1" xfId="0" applyNumberFormat="1" applyBorder="1"/>
    <xf numFmtId="2" fontId="0" fillId="0" borderId="7" xfId="0" applyNumberFormat="1" applyBorder="1"/>
    <xf numFmtId="2" fontId="0" fillId="0" borderId="6" xfId="0" applyNumberFormat="1" applyBorder="1"/>
    <xf numFmtId="2" fontId="0" fillId="0" borderId="5" xfId="0" applyNumberFormat="1" applyBorder="1"/>
    <xf numFmtId="2" fontId="0" fillId="0" borderId="4" xfId="0" applyNumberFormat="1" applyBorder="1"/>
    <xf numFmtId="10" fontId="1" fillId="0" borderId="37" xfId="1" applyNumberFormat="1" applyFont="1" applyBorder="1" applyAlignment="1">
      <alignment horizontal="center" vertical="center"/>
    </xf>
    <xf numFmtId="10" fontId="1" fillId="0" borderId="2" xfId="1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0" fontId="1" fillId="0" borderId="0" xfId="1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1" fillId="0" borderId="37" xfId="1" applyNumberFormat="1" applyFont="1" applyBorder="1" applyAlignment="1">
      <alignment horizontal="center" vertical="center" wrapText="1"/>
    </xf>
    <xf numFmtId="164" fontId="1" fillId="0" borderId="45" xfId="1" applyNumberFormat="1" applyFont="1" applyBorder="1" applyAlignment="1">
      <alignment horizontal="center" vertical="center" wrapText="1"/>
    </xf>
    <xf numFmtId="164" fontId="1" fillId="0" borderId="39" xfId="1" applyNumberFormat="1" applyFont="1" applyBorder="1" applyAlignment="1">
      <alignment horizontal="center" vertical="center" wrapText="1"/>
    </xf>
    <xf numFmtId="165" fontId="1" fillId="0" borderId="35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5" fontId="1" fillId="0" borderId="25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2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46" xfId="0" applyNumberFormat="1" applyFont="1" applyBorder="1" applyAlignment="1">
      <alignment horizontal="center" vertical="center" wrapText="1"/>
    </xf>
    <xf numFmtId="2" fontId="1" fillId="0" borderId="47" xfId="0" applyNumberFormat="1" applyFont="1" applyBorder="1" applyAlignment="1">
      <alignment horizontal="center" vertical="center" wrapText="1"/>
    </xf>
    <xf numFmtId="2" fontId="1" fillId="0" borderId="48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 wrapText="1"/>
    </xf>
    <xf numFmtId="164" fontId="1" fillId="0" borderId="17" xfId="0" applyNumberFormat="1" applyFont="1" applyBorder="1" applyAlignment="1">
      <alignment horizontal="center" vertical="center" wrapText="1"/>
    </xf>
    <xf numFmtId="164" fontId="1" fillId="0" borderId="22" xfId="0" applyNumberFormat="1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51" xfId="0" applyNumberFormat="1" applyFont="1" applyBorder="1" applyAlignment="1">
      <alignment horizontal="center" vertical="center" wrapText="1"/>
    </xf>
    <xf numFmtId="164" fontId="1" fillId="0" borderId="52" xfId="0" applyNumberFormat="1" applyFont="1" applyBorder="1" applyAlignment="1">
      <alignment horizontal="center" vertical="center" wrapText="1"/>
    </xf>
    <xf numFmtId="164" fontId="1" fillId="0" borderId="5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44" xfId="0" applyNumberFormat="1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55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1" fontId="1" fillId="0" borderId="55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right" vertical="center" wrapText="1"/>
    </xf>
    <xf numFmtId="0" fontId="1" fillId="0" borderId="29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164" fontId="1" fillId="0" borderId="55" xfId="0" applyNumberFormat="1" applyFont="1" applyBorder="1" applyAlignment="1">
      <alignment horizontal="center" vertical="center" wrapText="1"/>
    </xf>
    <xf numFmtId="164" fontId="1" fillId="0" borderId="56" xfId="0" applyNumberFormat="1" applyFont="1" applyBorder="1" applyAlignment="1">
      <alignment horizontal="center" vertical="center" wrapText="1"/>
    </xf>
    <xf numFmtId="164" fontId="1" fillId="0" borderId="24" xfId="0" applyNumberFormat="1" applyFont="1" applyBorder="1" applyAlignment="1">
      <alignment horizontal="center" vertical="center" wrapText="1"/>
    </xf>
    <xf numFmtId="164" fontId="1" fillId="0" borderId="46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center" vertical="center" wrapText="1"/>
    </xf>
    <xf numFmtId="164" fontId="1" fillId="0" borderId="57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55" xfId="0" applyNumberFormat="1" applyFont="1" applyBorder="1" applyAlignment="1">
      <alignment horizontal="center" vertical="center" wrapText="1"/>
    </xf>
    <xf numFmtId="1" fontId="1" fillId="0" borderId="56" xfId="0" applyNumberFormat="1" applyFont="1" applyBorder="1" applyAlignment="1">
      <alignment horizontal="center" vertical="center" wrapText="1"/>
    </xf>
    <xf numFmtId="1" fontId="1" fillId="0" borderId="24" xfId="0" applyNumberFormat="1" applyFont="1" applyBorder="1" applyAlignment="1">
      <alignment horizontal="center" vertical="center" wrapText="1"/>
    </xf>
    <xf numFmtId="169" fontId="1" fillId="0" borderId="12" xfId="0" applyNumberFormat="1" applyFont="1" applyBorder="1" applyAlignment="1">
      <alignment horizontal="center" vertical="center" wrapText="1"/>
    </xf>
    <xf numFmtId="169" fontId="1" fillId="0" borderId="55" xfId="0" applyNumberFormat="1" applyFont="1" applyBorder="1" applyAlignment="1">
      <alignment horizontal="center" vertical="center" wrapText="1"/>
    </xf>
    <xf numFmtId="169" fontId="1" fillId="0" borderId="56" xfId="0" applyNumberFormat="1" applyFont="1" applyBorder="1" applyAlignment="1">
      <alignment horizontal="center" vertical="center" wrapText="1"/>
    </xf>
    <xf numFmtId="169" fontId="1" fillId="0" borderId="24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2225-2627-4A1C-A353-A4598C533E5C}">
  <dimension ref="B1:O89"/>
  <sheetViews>
    <sheetView topLeftCell="D70" zoomScale="116" zoomScaleNormal="80" workbookViewId="0">
      <selection activeCell="L15" sqref="L15"/>
    </sheetView>
  </sheetViews>
  <sheetFormatPr baseColWidth="10" defaultRowHeight="14" x14ac:dyDescent="0.35"/>
  <cols>
    <col min="1" max="1" width="10.90625" style="35"/>
    <col min="2" max="2" width="13.1796875" style="35" bestFit="1" customWidth="1"/>
    <col min="3" max="3" width="22.6328125" style="35" bestFit="1" customWidth="1"/>
    <col min="4" max="4" width="19.7265625" style="35" bestFit="1" customWidth="1"/>
    <col min="5" max="5" width="15.6328125" style="35" customWidth="1"/>
    <col min="6" max="6" width="19.54296875" style="35" bestFit="1" customWidth="1"/>
    <col min="7" max="8" width="15.6328125" style="35" customWidth="1"/>
    <col min="9" max="9" width="11" style="35" bestFit="1" customWidth="1"/>
    <col min="10" max="10" width="12.26953125" style="35" bestFit="1" customWidth="1"/>
    <col min="11" max="11" width="11.7265625" style="35" customWidth="1"/>
    <col min="12" max="12" width="11.6328125" style="35" bestFit="1" customWidth="1"/>
    <col min="13" max="13" width="11" style="35" bestFit="1" customWidth="1"/>
    <col min="14" max="16" width="10.453125" style="35" bestFit="1" customWidth="1"/>
    <col min="17" max="18" width="10.90625" style="35"/>
    <col min="19" max="19" width="11" style="35" bestFit="1" customWidth="1"/>
    <col min="20" max="16384" width="10.90625" style="35"/>
  </cols>
  <sheetData>
    <row r="1" spans="2:12" ht="14.5" thickBot="1" x14ac:dyDescent="0.4"/>
    <row r="2" spans="2:12" ht="14.5" customHeight="1" thickBot="1" x14ac:dyDescent="0.4">
      <c r="B2" s="178" t="s">
        <v>40</v>
      </c>
      <c r="C2" s="179"/>
      <c r="D2" s="182" t="s">
        <v>1</v>
      </c>
      <c r="E2" s="183"/>
      <c r="F2" s="183"/>
      <c r="G2" s="183"/>
      <c r="H2" s="184"/>
    </row>
    <row r="3" spans="2:12" ht="14.5" thickBot="1" x14ac:dyDescent="0.4">
      <c r="B3" s="180"/>
      <c r="C3" s="181"/>
      <c r="D3" s="12" t="s">
        <v>2</v>
      </c>
      <c r="E3" s="12" t="s">
        <v>6</v>
      </c>
      <c r="F3" s="12" t="s">
        <v>3</v>
      </c>
      <c r="G3" s="12" t="s">
        <v>5</v>
      </c>
      <c r="H3" s="12" t="s">
        <v>4</v>
      </c>
    </row>
    <row r="4" spans="2:12" ht="56.5" thickBot="1" x14ac:dyDescent="0.4">
      <c r="B4" s="180"/>
      <c r="C4" s="181"/>
      <c r="D4" s="14" t="s">
        <v>33</v>
      </c>
      <c r="E4" s="14" t="s">
        <v>34</v>
      </c>
      <c r="F4" s="14" t="s">
        <v>35</v>
      </c>
      <c r="G4" s="14" t="s">
        <v>36</v>
      </c>
      <c r="H4" s="14" t="s">
        <v>37</v>
      </c>
    </row>
    <row r="5" spans="2:12" ht="15" customHeight="1" thickBot="1" x14ac:dyDescent="0.4">
      <c r="B5" s="185" t="s">
        <v>52</v>
      </c>
      <c r="C5" s="186"/>
      <c r="D5" s="37">
        <v>0.26150000000000001</v>
      </c>
      <c r="E5" s="138">
        <v>0.20399999999999999</v>
      </c>
      <c r="F5" s="138">
        <v>0.28839999999999999</v>
      </c>
      <c r="G5" s="138">
        <v>0.125</v>
      </c>
      <c r="H5" s="139">
        <v>0.1211</v>
      </c>
      <c r="I5" s="134">
        <f>SUM(D5:H5)</f>
        <v>1</v>
      </c>
    </row>
    <row r="6" spans="2:12" ht="14.5" thickBot="1" x14ac:dyDescent="0.4">
      <c r="B6" s="175" t="s">
        <v>0</v>
      </c>
      <c r="C6" s="48" t="s">
        <v>22</v>
      </c>
      <c r="D6" s="36">
        <f>'C.Tec.'!D96</f>
        <v>0</v>
      </c>
      <c r="E6" s="28">
        <f>'C.Eco.'!D96</f>
        <v>0.98088570358101068</v>
      </c>
      <c r="F6" s="28">
        <f>'C.Soc.'!D93</f>
        <v>0.36281503045858432</v>
      </c>
      <c r="G6" s="28">
        <f>'C.Amb.'!D96</f>
        <v>0.79999999999999993</v>
      </c>
      <c r="H6" s="29">
        <f>'C.Com.'!D96</f>
        <v>7.1238537781624324E-3</v>
      </c>
    </row>
    <row r="7" spans="2:12" ht="14.5" thickBot="1" x14ac:dyDescent="0.4">
      <c r="B7" s="176"/>
      <c r="C7" s="48" t="s">
        <v>29</v>
      </c>
      <c r="D7" s="135">
        <f>'C.Tec.'!D97</f>
        <v>1</v>
      </c>
      <c r="E7" s="136">
        <f>'C.Eco.'!D97</f>
        <v>0.9817392506837086</v>
      </c>
      <c r="F7" s="136">
        <f>'C.Soc.'!D94</f>
        <v>0.14266978199325031</v>
      </c>
      <c r="G7" s="136">
        <f>'C.Amb.'!D97</f>
        <v>0.79999999999999993</v>
      </c>
      <c r="H7" s="137">
        <f>'C.Com.'!D97</f>
        <v>1.3746360019974306E-4</v>
      </c>
    </row>
    <row r="8" spans="2:12" ht="14.5" thickBot="1" x14ac:dyDescent="0.4">
      <c r="B8" s="176"/>
      <c r="C8" s="35" t="s">
        <v>18</v>
      </c>
      <c r="D8" s="135">
        <f>'C.Tec.'!D98</f>
        <v>0</v>
      </c>
      <c r="E8" s="136">
        <f>'C.Eco.'!D98</f>
        <v>0.99999886787408954</v>
      </c>
      <c r="F8" s="136">
        <f>'C.Soc.'!D95</f>
        <v>0.11451584736954851</v>
      </c>
      <c r="G8" s="136">
        <f>'C.Amb.'!D98</f>
        <v>0.19999999999999998</v>
      </c>
      <c r="H8" s="137">
        <f>'C.Com.'!D98</f>
        <v>5.4911813492730893E-4</v>
      </c>
    </row>
    <row r="9" spans="2:12" ht="14.5" thickBot="1" x14ac:dyDescent="0.4">
      <c r="B9" s="176"/>
      <c r="C9" s="50" t="s">
        <v>24</v>
      </c>
      <c r="D9" s="135">
        <f>'C.Tec.'!D99</f>
        <v>1</v>
      </c>
      <c r="E9" s="136">
        <f>'C.Eco.'!D99</f>
        <v>0.98161873392577514</v>
      </c>
      <c r="F9" s="136">
        <f>'C.Soc.'!D96</f>
        <v>0.29761477750281623</v>
      </c>
      <c r="G9" s="136">
        <f>'C.Amb.'!D99</f>
        <v>0.19999999999999998</v>
      </c>
      <c r="H9" s="137">
        <f>'C.Com.'!D99</f>
        <v>8.7043510503089491E-2</v>
      </c>
    </row>
    <row r="10" spans="2:12" ht="14.5" thickBot="1" x14ac:dyDescent="0.4">
      <c r="B10" s="176"/>
      <c r="C10" s="50" t="s">
        <v>31</v>
      </c>
      <c r="D10" s="135">
        <f>'C.Tec.'!D100</f>
        <v>1</v>
      </c>
      <c r="E10" s="136">
        <f>'C.Eco.'!D100</f>
        <v>1</v>
      </c>
      <c r="F10" s="136">
        <f>'C.Soc.'!D97</f>
        <v>4.193059524822728E-2</v>
      </c>
      <c r="G10" s="136">
        <f>'C.Amb.'!D100</f>
        <v>0</v>
      </c>
      <c r="H10" s="137">
        <f>'C.Com.'!D100</f>
        <v>1.5806400397899785E-4</v>
      </c>
    </row>
    <row r="11" spans="2:12" ht="14.5" thickBot="1" x14ac:dyDescent="0.4">
      <c r="B11" s="176"/>
      <c r="C11" s="48" t="s">
        <v>25</v>
      </c>
      <c r="D11" s="135">
        <f>'C.Tec.'!D101</f>
        <v>1</v>
      </c>
      <c r="E11" s="136">
        <f>'C.Eco.'!D101</f>
        <v>0.99999936351751817</v>
      </c>
      <c r="F11" s="136">
        <f>'C.Soc.'!D98</f>
        <v>4.541127911954547E-2</v>
      </c>
      <c r="G11" s="136">
        <f>'C.Amb.'!D101</f>
        <v>0.19999999999999998</v>
      </c>
      <c r="H11" s="137">
        <f>'C.Com.'!D101</f>
        <v>3.0490389124444044E-7</v>
      </c>
      <c r="L11" s="133"/>
    </row>
    <row r="12" spans="2:12" ht="14.5" thickBot="1" x14ac:dyDescent="0.4">
      <c r="B12" s="176"/>
      <c r="C12" s="48" t="s">
        <v>27</v>
      </c>
      <c r="D12" s="135">
        <f>'C.Tec.'!D102</f>
        <v>1</v>
      </c>
      <c r="E12" s="136">
        <f>'C.Eco.'!D102</f>
        <v>0.24707253223307302</v>
      </c>
      <c r="F12" s="136">
        <f>'C.Soc.'!D99</f>
        <v>0.60684915434971265</v>
      </c>
      <c r="G12" s="136">
        <f>'C.Amb.'!D102</f>
        <v>1</v>
      </c>
      <c r="H12" s="137">
        <f>'C.Com.'!D102</f>
        <v>1.2388061117100444E-2</v>
      </c>
    </row>
    <row r="13" spans="2:12" ht="14.5" thickBot="1" x14ac:dyDescent="0.4">
      <c r="B13" s="176"/>
      <c r="C13" s="50" t="s">
        <v>20</v>
      </c>
      <c r="D13" s="135">
        <f>'C.Tec.'!D103</f>
        <v>0</v>
      </c>
      <c r="E13" s="136">
        <f>'C.Eco.'!D103</f>
        <v>0.24650359920471232</v>
      </c>
      <c r="F13" s="136">
        <f>'C.Soc.'!D100</f>
        <v>0.20146727103584933</v>
      </c>
      <c r="G13" s="136">
        <f>'C.Amb.'!D103</f>
        <v>0.19999999999999998</v>
      </c>
      <c r="H13" s="137">
        <f>'C.Com.'!D103</f>
        <v>7.4434902766019585E-5</v>
      </c>
    </row>
    <row r="14" spans="2:12" ht="14.5" thickBot="1" x14ac:dyDescent="0.4">
      <c r="B14" s="176"/>
      <c r="C14" s="48" t="s">
        <v>19</v>
      </c>
      <c r="D14" s="135">
        <f>'C.Tec.'!D104</f>
        <v>0</v>
      </c>
      <c r="E14" s="136">
        <f>'C.Eco.'!D104</f>
        <v>0.98110126728570146</v>
      </c>
      <c r="F14" s="136">
        <f>'C.Soc.'!D101</f>
        <v>0.44840508859438971</v>
      </c>
      <c r="G14" s="136">
        <f>'C.Amb.'!D104</f>
        <v>0.79999999999999993</v>
      </c>
      <c r="H14" s="137">
        <f>'C.Com.'!D104</f>
        <v>5.4602434866721132E-3</v>
      </c>
      <c r="I14" s="1"/>
    </row>
    <row r="15" spans="2:12" ht="14.5" customHeight="1" thickBot="1" x14ac:dyDescent="0.4">
      <c r="B15" s="176"/>
      <c r="C15" s="50" t="s">
        <v>32</v>
      </c>
      <c r="D15" s="135">
        <f>'C.Tec.'!D105</f>
        <v>0.87618800675241426</v>
      </c>
      <c r="E15" s="136">
        <f>'C.Eco.'!D105</f>
        <v>0.98202359210551793</v>
      </c>
      <c r="F15" s="136">
        <f>'C.Soc.'!D102</f>
        <v>0.830966743842945</v>
      </c>
      <c r="G15" s="136">
        <f>'C.Amb.'!D105</f>
        <v>1</v>
      </c>
      <c r="H15" s="137">
        <f>'C.Com.'!D105</f>
        <v>6.5785157702148114E-2</v>
      </c>
      <c r="I15" s="1"/>
    </row>
    <row r="16" spans="2:12" ht="15" customHeight="1" thickBot="1" x14ac:dyDescent="0.4">
      <c r="B16" s="176"/>
      <c r="C16" s="50" t="s">
        <v>26</v>
      </c>
      <c r="D16" s="135">
        <f>'C.Tec.'!D106</f>
        <v>1</v>
      </c>
      <c r="E16" s="136">
        <f>'C.Eco.'!D106</f>
        <v>0</v>
      </c>
      <c r="F16" s="136">
        <f>'C.Soc.'!D103</f>
        <v>0.68866452906275799</v>
      </c>
      <c r="G16" s="136">
        <f>'C.Amb.'!D106</f>
        <v>1</v>
      </c>
      <c r="H16" s="137">
        <f>'C.Com.'!D106</f>
        <v>1</v>
      </c>
      <c r="I16" s="1"/>
    </row>
    <row r="17" spans="2:9" ht="15" customHeight="1" thickBot="1" x14ac:dyDescent="0.4">
      <c r="B17" s="176"/>
      <c r="C17" s="48" t="s">
        <v>30</v>
      </c>
      <c r="D17" s="135">
        <f>'C.Tec.'!D107</f>
        <v>1</v>
      </c>
      <c r="E17" s="136">
        <f>'C.Eco.'!D107</f>
        <v>0.99999955811570973</v>
      </c>
      <c r="F17" s="136">
        <f>'C.Soc.'!D104</f>
        <v>7.9997174159062712E-2</v>
      </c>
      <c r="G17" s="136">
        <f>'C.Amb.'!D107</f>
        <v>0</v>
      </c>
      <c r="H17" s="137">
        <f>'C.Com.'!D107</f>
        <v>0</v>
      </c>
      <c r="I17" s="1"/>
    </row>
    <row r="18" spans="2:9" ht="14.5" thickBot="1" x14ac:dyDescent="0.4">
      <c r="B18" s="176"/>
      <c r="C18" s="50" t="s">
        <v>28</v>
      </c>
      <c r="D18" s="135">
        <f>'C.Tec.'!D108</f>
        <v>1</v>
      </c>
      <c r="E18" s="136">
        <f>'C.Eco.'!D108</f>
        <v>8.5595701422947647E-5</v>
      </c>
      <c r="F18" s="136">
        <f>'C.Soc.'!D105</f>
        <v>0.54049409028918638</v>
      </c>
      <c r="G18" s="136">
        <f>'C.Amb.'!D108</f>
        <v>0.79999999999999993</v>
      </c>
      <c r="H18" s="137">
        <f>'C.Com.'!D108</f>
        <v>3.0182647221204057E-3</v>
      </c>
      <c r="I18" s="1"/>
    </row>
    <row r="19" spans="2:9" ht="14.5" thickBot="1" x14ac:dyDescent="0.4">
      <c r="B19" s="176"/>
      <c r="C19" s="50" t="s">
        <v>23</v>
      </c>
      <c r="D19" s="135">
        <f>'C.Tec.'!D109</f>
        <v>0</v>
      </c>
      <c r="E19" s="136">
        <f>'C.Eco.'!D109</f>
        <v>0.24550952026343362</v>
      </c>
      <c r="F19" s="136">
        <f>'C.Soc.'!D106</f>
        <v>0.61733663058293586</v>
      </c>
      <c r="G19" s="136">
        <f>'C.Amb.'!D109</f>
        <v>1</v>
      </c>
      <c r="H19" s="137">
        <f>'C.Com.'!D109</f>
        <v>3.7315351754917576E-3</v>
      </c>
      <c r="I19" s="1"/>
    </row>
    <row r="20" spans="2:9" ht="14.5" thickBot="1" x14ac:dyDescent="0.4">
      <c r="B20" s="177"/>
      <c r="C20" s="48" t="s">
        <v>21</v>
      </c>
      <c r="D20" s="58">
        <f>'C.Tec.'!D110</f>
        <v>0</v>
      </c>
      <c r="E20" s="59">
        <f>'C.Eco.'!D110</f>
        <v>0.24693023850628334</v>
      </c>
      <c r="F20" s="59">
        <f>'C.Soc.'!D107</f>
        <v>0.40566217529552295</v>
      </c>
      <c r="G20" s="59">
        <f>'C.Amb.'!D110</f>
        <v>0.79999999999999993</v>
      </c>
      <c r="H20" s="60">
        <f>'C.Com.'!D110</f>
        <v>6.7801563152862401E-4</v>
      </c>
      <c r="I20" s="1"/>
    </row>
    <row r="21" spans="2:9" x14ac:dyDescent="0.35">
      <c r="B21" s="1"/>
      <c r="C21" s="154"/>
      <c r="D21" s="101" cm="1">
        <f t="array" ref="D21">SQRT(SUMPRODUCT(D6:D20^2))</f>
        <v>2.9610311418789177</v>
      </c>
      <c r="E21" s="101" cm="1">
        <f t="array" ref="E21">SQRT(SUMPRODUCT(E6:E20^2))</f>
        <v>3.0099016603395756</v>
      </c>
      <c r="F21" s="101" cm="1">
        <f t="array" ref="F21">SQRT(SUMPRODUCT(F6:F20^2))</f>
        <v>1.6959907359728406</v>
      </c>
      <c r="G21" s="101" cm="1">
        <f t="array" ref="G21">SQRT(SUMPRODUCT(G6:G20^2))</f>
        <v>2.7129319932501073</v>
      </c>
      <c r="H21" s="101" cm="1">
        <f t="array" ref="H21">SQRT(SUMPRODUCT(H6:H20^2))</f>
        <v>1.0060626880260322</v>
      </c>
      <c r="I21" s="1"/>
    </row>
    <row r="22" spans="2:9" ht="14.5" thickBot="1" x14ac:dyDescent="0.4"/>
    <row r="23" spans="2:9" ht="14.5" thickBot="1" x14ac:dyDescent="0.4">
      <c r="B23" s="175" t="s">
        <v>0</v>
      </c>
      <c r="C23" s="48" t="s">
        <v>22</v>
      </c>
      <c r="D23" s="36">
        <f>D6/D$21</f>
        <v>0</v>
      </c>
      <c r="E23" s="28">
        <f t="shared" ref="E23:G23" si="0">E6/E$21</f>
        <v>0.32588629605604713</v>
      </c>
      <c r="F23" s="28">
        <f t="shared" si="0"/>
        <v>0.21392512515728412</v>
      </c>
      <c r="G23" s="28">
        <f t="shared" si="0"/>
        <v>0.29488391230979422</v>
      </c>
      <c r="H23" s="29">
        <f>H6/H$21</f>
        <v>7.0809243429352789E-3</v>
      </c>
    </row>
    <row r="24" spans="2:9" ht="14.5" thickBot="1" x14ac:dyDescent="0.4">
      <c r="B24" s="176"/>
      <c r="C24" s="48" t="s">
        <v>29</v>
      </c>
      <c r="D24" s="56">
        <f t="shared" ref="D24:H24" si="1">D7/D$21</f>
        <v>0.33772019005698523</v>
      </c>
      <c r="E24" s="26">
        <f t="shared" si="1"/>
        <v>0.32616987578688844</v>
      </c>
      <c r="F24" s="26">
        <f t="shared" si="1"/>
        <v>8.412179321923785E-2</v>
      </c>
      <c r="G24" s="26">
        <f t="shared" si="1"/>
        <v>0.29488391230979422</v>
      </c>
      <c r="H24" s="27">
        <f t="shared" si="1"/>
        <v>1.366352234664985E-4</v>
      </c>
    </row>
    <row r="25" spans="2:9" ht="14.5" thickBot="1" x14ac:dyDescent="0.4">
      <c r="B25" s="176"/>
      <c r="C25" s="144" t="s">
        <v>18</v>
      </c>
      <c r="D25" s="56">
        <f t="shared" ref="D25:H25" si="2">D8/D$21</f>
        <v>0</v>
      </c>
      <c r="E25" s="26">
        <f t="shared" si="2"/>
        <v>0.33223639198938815</v>
      </c>
      <c r="F25" s="26">
        <f t="shared" si="2"/>
        <v>6.7521505242103139E-2</v>
      </c>
      <c r="G25" s="26">
        <f t="shared" si="2"/>
        <v>7.3720978077448554E-2</v>
      </c>
      <c r="H25" s="27">
        <f t="shared" si="2"/>
        <v>5.4580906484537112E-4</v>
      </c>
    </row>
    <row r="26" spans="2:9" ht="14.5" thickBot="1" x14ac:dyDescent="0.4">
      <c r="B26" s="176"/>
      <c r="C26" s="50" t="s">
        <v>24</v>
      </c>
      <c r="D26" s="56">
        <f t="shared" ref="D26:H26" si="3">D9/D$21</f>
        <v>0.33772019005698523</v>
      </c>
      <c r="E26" s="26">
        <f t="shared" si="3"/>
        <v>0.32612983568872794</v>
      </c>
      <c r="F26" s="26">
        <f t="shared" si="3"/>
        <v>0.17548136979185847</v>
      </c>
      <c r="G26" s="26">
        <f t="shared" si="3"/>
        <v>7.3720978077448554E-2</v>
      </c>
      <c r="H26" s="27">
        <f t="shared" si="3"/>
        <v>8.6518972961690047E-2</v>
      </c>
    </row>
    <row r="27" spans="2:9" ht="14.5" thickBot="1" x14ac:dyDescent="0.4">
      <c r="B27" s="176"/>
      <c r="C27" s="50" t="s">
        <v>31</v>
      </c>
      <c r="D27" s="56">
        <f t="shared" ref="D27:H27" si="4">D10/D$21</f>
        <v>0.33772019005698523</v>
      </c>
      <c r="E27" s="26">
        <f t="shared" si="4"/>
        <v>0.33223676812324177</v>
      </c>
      <c r="F27" s="26">
        <f t="shared" si="4"/>
        <v>2.4723363376260066E-2</v>
      </c>
      <c r="G27" s="26">
        <f t="shared" si="4"/>
        <v>0</v>
      </c>
      <c r="H27" s="27">
        <f t="shared" si="4"/>
        <v>1.5711148605374766E-4</v>
      </c>
    </row>
    <row r="28" spans="2:9" ht="14.5" thickBot="1" x14ac:dyDescent="0.4">
      <c r="B28" s="176"/>
      <c r="C28" s="48" t="s">
        <v>25</v>
      </c>
      <c r="D28" s="56">
        <f t="shared" ref="D28:H28" si="5">D11/D$21</f>
        <v>0.33772019005698523</v>
      </c>
      <c r="E28" s="26">
        <f t="shared" si="5"/>
        <v>0.33223655666035906</v>
      </c>
      <c r="F28" s="26">
        <f t="shared" si="5"/>
        <v>2.6775664604970273E-2</v>
      </c>
      <c r="G28" s="26">
        <f t="shared" si="5"/>
        <v>7.3720978077448554E-2</v>
      </c>
      <c r="H28" s="27">
        <f t="shared" si="5"/>
        <v>3.0306649364234348E-7</v>
      </c>
    </row>
    <row r="29" spans="2:9" ht="14.5" thickBot="1" x14ac:dyDescent="0.4">
      <c r="B29" s="176"/>
      <c r="C29" s="48" t="s">
        <v>27</v>
      </c>
      <c r="D29" s="56">
        <f t="shared" ref="D29:H29" si="6">D12/D$21</f>
        <v>0.33772019005698523</v>
      </c>
      <c r="E29" s="26">
        <f t="shared" si="6"/>
        <v>8.2086579601141657E-2</v>
      </c>
      <c r="F29" s="26">
        <f t="shared" si="6"/>
        <v>0.35781395586551756</v>
      </c>
      <c r="G29" s="26">
        <f t="shared" si="6"/>
        <v>0.36860489038724281</v>
      </c>
      <c r="H29" s="27">
        <f t="shared" si="6"/>
        <v>1.231340876124401E-2</v>
      </c>
    </row>
    <row r="30" spans="2:9" ht="14.5" thickBot="1" x14ac:dyDescent="0.4">
      <c r="B30" s="176"/>
      <c r="C30" s="50" t="s">
        <v>20</v>
      </c>
      <c r="D30" s="56">
        <f t="shared" ref="D30:H30" si="7">D13/D$21</f>
        <v>0</v>
      </c>
      <c r="E30" s="26">
        <f t="shared" si="7"/>
        <v>8.1897559130520534E-2</v>
      </c>
      <c r="F30" s="26">
        <f t="shared" si="7"/>
        <v>0.11879031339182716</v>
      </c>
      <c r="G30" s="26">
        <f t="shared" si="7"/>
        <v>7.3720978077448554E-2</v>
      </c>
      <c r="H30" s="27">
        <f t="shared" si="7"/>
        <v>7.3986346628226765E-5</v>
      </c>
    </row>
    <row r="31" spans="2:9" ht="14.5" thickBot="1" x14ac:dyDescent="0.4">
      <c r="B31" s="176"/>
      <c r="C31" s="48" t="s">
        <v>19</v>
      </c>
      <c r="D31" s="56">
        <f t="shared" ref="D31:H31" si="8">D14/D$21</f>
        <v>0</v>
      </c>
      <c r="E31" s="26">
        <f t="shared" si="8"/>
        <v>0.32595791424461823</v>
      </c>
      <c r="F31" s="26">
        <f t="shared" si="8"/>
        <v>0.26439123698230532</v>
      </c>
      <c r="G31" s="26">
        <f t="shared" si="8"/>
        <v>0.29488391230979422</v>
      </c>
      <c r="H31" s="27">
        <f t="shared" si="8"/>
        <v>5.4273392221567286E-3</v>
      </c>
    </row>
    <row r="32" spans="2:9" ht="14.5" thickBot="1" x14ac:dyDescent="0.4">
      <c r="B32" s="176"/>
      <c r="C32" s="50" t="s">
        <v>32</v>
      </c>
      <c r="D32" s="56">
        <f t="shared" ref="D32:H32" si="9">D15/D$21</f>
        <v>0.2959063801660764</v>
      </c>
      <c r="E32" s="26">
        <f t="shared" si="9"/>
        <v>0.32626434446191394</v>
      </c>
      <c r="F32" s="26">
        <f t="shared" si="9"/>
        <v>0.48995948280713486</v>
      </c>
      <c r="G32" s="26">
        <f t="shared" si="9"/>
        <v>0.36860489038724281</v>
      </c>
      <c r="H32" s="27">
        <f t="shared" si="9"/>
        <v>6.5388726254447777E-2</v>
      </c>
    </row>
    <row r="33" spans="2:8" ht="14.5" thickBot="1" x14ac:dyDescent="0.4">
      <c r="B33" s="176"/>
      <c r="C33" s="50" t="s">
        <v>26</v>
      </c>
      <c r="D33" s="56">
        <f t="shared" ref="D33:H33" si="10">D16/D$21</f>
        <v>0.33772019005698523</v>
      </c>
      <c r="E33" s="26">
        <f t="shared" si="10"/>
        <v>0</v>
      </c>
      <c r="F33" s="26">
        <f t="shared" si="10"/>
        <v>0.40605441672282</v>
      </c>
      <c r="G33" s="26">
        <f t="shared" si="10"/>
        <v>0.36860489038724281</v>
      </c>
      <c r="H33" s="27">
        <f t="shared" si="10"/>
        <v>0.99397384666165522</v>
      </c>
    </row>
    <row r="34" spans="2:8" ht="14.5" thickBot="1" x14ac:dyDescent="0.4">
      <c r="B34" s="176"/>
      <c r="C34" s="48" t="s">
        <v>30</v>
      </c>
      <c r="D34" s="56">
        <f t="shared" ref="D34:H34" si="11">D17/D$21</f>
        <v>0.33772019005698523</v>
      </c>
      <c r="E34" s="26">
        <f t="shared" si="11"/>
        <v>0.33223662131303328</v>
      </c>
      <c r="F34" s="26">
        <f t="shared" si="11"/>
        <v>4.7168402787987743E-2</v>
      </c>
      <c r="G34" s="26">
        <f t="shared" si="11"/>
        <v>0</v>
      </c>
      <c r="H34" s="27">
        <f t="shared" si="11"/>
        <v>0</v>
      </c>
    </row>
    <row r="35" spans="2:8" ht="14.5" thickBot="1" x14ac:dyDescent="0.4">
      <c r="B35" s="176"/>
      <c r="C35" s="50" t="s">
        <v>28</v>
      </c>
      <c r="D35" s="56">
        <f t="shared" ref="D35:H35" si="12">D18/D$21</f>
        <v>0.33772019005698523</v>
      </c>
      <c r="E35" s="26">
        <f t="shared" si="12"/>
        <v>2.8438039206002093E-5</v>
      </c>
      <c r="F35" s="26">
        <f t="shared" si="12"/>
        <v>0.31868929400675794</v>
      </c>
      <c r="G35" s="26">
        <f t="shared" si="12"/>
        <v>0.29488391230979422</v>
      </c>
      <c r="H35" s="27">
        <f t="shared" si="12"/>
        <v>3.0000761960891917E-3</v>
      </c>
    </row>
    <row r="36" spans="2:8" ht="14.5" thickBot="1" x14ac:dyDescent="0.4">
      <c r="B36" s="176"/>
      <c r="C36" s="50" t="s">
        <v>23</v>
      </c>
      <c r="D36" s="56">
        <f t="shared" ref="D36:H36" si="13">D19/D$21</f>
        <v>0</v>
      </c>
      <c r="E36" s="26">
        <f t="shared" si="13"/>
        <v>8.1567289555810718E-2</v>
      </c>
      <c r="F36" s="26">
        <f t="shared" si="13"/>
        <v>0.3639976430819501</v>
      </c>
      <c r="G36" s="26">
        <f t="shared" si="13"/>
        <v>0.36860489038724281</v>
      </c>
      <c r="H36" s="27">
        <f t="shared" si="13"/>
        <v>3.7090483723368171E-3</v>
      </c>
    </row>
    <row r="37" spans="2:8" ht="14.5" thickBot="1" x14ac:dyDescent="0.4">
      <c r="B37" s="177"/>
      <c r="C37" s="48" t="s">
        <v>21</v>
      </c>
      <c r="D37" s="57">
        <f t="shared" ref="D37:H37" si="14">D20/D$21</f>
        <v>0</v>
      </c>
      <c r="E37" s="30">
        <f t="shared" si="14"/>
        <v>8.2039304393228846E-2</v>
      </c>
      <c r="F37" s="30">
        <f t="shared" si="14"/>
        <v>0.23918890987504732</v>
      </c>
      <c r="G37" s="30">
        <f t="shared" si="14"/>
        <v>0.29488391230979422</v>
      </c>
      <c r="H37" s="31">
        <f t="shared" si="14"/>
        <v>6.7392980536723783E-4</v>
      </c>
    </row>
    <row r="38" spans="2:8" ht="14.5" thickBot="1" x14ac:dyDescent="0.4"/>
    <row r="39" spans="2:8" ht="14.5" thickBot="1" x14ac:dyDescent="0.4">
      <c r="B39" s="175" t="s">
        <v>0</v>
      </c>
      <c r="C39" s="48" t="s">
        <v>22</v>
      </c>
      <c r="D39" s="36">
        <f>D23*D$5</f>
        <v>0</v>
      </c>
      <c r="E39" s="28">
        <f t="shared" ref="E39:H39" si="15">E23*E$5</f>
        <v>6.6480804395433607E-2</v>
      </c>
      <c r="F39" s="28">
        <f t="shared" si="15"/>
        <v>6.1696006095360738E-2</v>
      </c>
      <c r="G39" s="28">
        <f t="shared" si="15"/>
        <v>3.6860489038724277E-2</v>
      </c>
      <c r="H39" s="29">
        <f t="shared" si="15"/>
        <v>8.5749993792946224E-4</v>
      </c>
    </row>
    <row r="40" spans="2:8" ht="14.5" thickBot="1" x14ac:dyDescent="0.4">
      <c r="B40" s="176"/>
      <c r="C40" s="48" t="s">
        <v>29</v>
      </c>
      <c r="D40" s="56">
        <f t="shared" ref="D40:H40" si="16">D24*D$5</f>
        <v>8.8313829699901633E-2</v>
      </c>
      <c r="E40" s="26">
        <f t="shared" si="16"/>
        <v>6.6538654660525234E-2</v>
      </c>
      <c r="F40" s="26">
        <f t="shared" si="16"/>
        <v>2.4260725164428194E-2</v>
      </c>
      <c r="G40" s="26">
        <f t="shared" si="16"/>
        <v>3.6860489038724277E-2</v>
      </c>
      <c r="H40" s="27">
        <f t="shared" si="16"/>
        <v>1.6546525561792969E-5</v>
      </c>
    </row>
    <row r="41" spans="2:8" ht="14.5" thickBot="1" x14ac:dyDescent="0.4">
      <c r="B41" s="176"/>
      <c r="C41" s="144" t="s">
        <v>18</v>
      </c>
      <c r="D41" s="56">
        <f t="shared" ref="D41:H41" si="17">D25*D$5</f>
        <v>0</v>
      </c>
      <c r="E41" s="26">
        <f t="shared" si="17"/>
        <v>6.7776223965835172E-2</v>
      </c>
      <c r="F41" s="26">
        <f t="shared" si="17"/>
        <v>1.9473202111822543E-2</v>
      </c>
      <c r="G41" s="26">
        <f t="shared" si="17"/>
        <v>9.2151222596810693E-3</v>
      </c>
      <c r="H41" s="27">
        <f t="shared" si="17"/>
        <v>6.6097477752774436E-5</v>
      </c>
    </row>
    <row r="42" spans="2:8" ht="14.5" thickBot="1" x14ac:dyDescent="0.4">
      <c r="B42" s="176"/>
      <c r="C42" s="50" t="s">
        <v>24</v>
      </c>
      <c r="D42" s="56">
        <f t="shared" ref="D42:H42" si="18">D26*D$5</f>
        <v>8.8313829699901633E-2</v>
      </c>
      <c r="E42" s="26">
        <f t="shared" si="18"/>
        <v>6.65304864805005E-2</v>
      </c>
      <c r="F42" s="26">
        <f t="shared" si="18"/>
        <v>5.0608827047971983E-2</v>
      </c>
      <c r="G42" s="26">
        <f t="shared" si="18"/>
        <v>9.2151222596810693E-3</v>
      </c>
      <c r="H42" s="27">
        <f t="shared" si="18"/>
        <v>1.0477447625660665E-2</v>
      </c>
    </row>
    <row r="43" spans="2:8" ht="14.5" thickBot="1" x14ac:dyDescent="0.4">
      <c r="B43" s="176"/>
      <c r="C43" s="50" t="s">
        <v>31</v>
      </c>
      <c r="D43" s="56">
        <f t="shared" ref="D43:H43" si="19">D27*D$5</f>
        <v>8.8313829699901633E-2</v>
      </c>
      <c r="E43" s="26">
        <f t="shared" si="19"/>
        <v>6.7776300697141315E-2</v>
      </c>
      <c r="F43" s="26">
        <f t="shared" si="19"/>
        <v>7.1302179977134027E-3</v>
      </c>
      <c r="G43" s="26">
        <f t="shared" si="19"/>
        <v>0</v>
      </c>
      <c r="H43" s="27">
        <f t="shared" si="19"/>
        <v>1.9026200961108842E-5</v>
      </c>
    </row>
    <row r="44" spans="2:8" ht="14.5" thickBot="1" x14ac:dyDescent="0.4">
      <c r="B44" s="176"/>
      <c r="C44" s="48" t="s">
        <v>25</v>
      </c>
      <c r="D44" s="56">
        <f t="shared" ref="D44:H44" si="20">D28*D$5</f>
        <v>8.8313829699901633E-2</v>
      </c>
      <c r="E44" s="26">
        <f t="shared" si="20"/>
        <v>6.7776257558713249E-2</v>
      </c>
      <c r="F44" s="26">
        <f t="shared" si="20"/>
        <v>7.7221016720734267E-3</v>
      </c>
      <c r="G44" s="26">
        <f t="shared" si="20"/>
        <v>9.2151222596810693E-3</v>
      </c>
      <c r="H44" s="27">
        <f t="shared" si="20"/>
        <v>3.6701352380087796E-8</v>
      </c>
    </row>
    <row r="45" spans="2:8" ht="14.5" thickBot="1" x14ac:dyDescent="0.4">
      <c r="B45" s="176"/>
      <c r="C45" s="48" t="s">
        <v>27</v>
      </c>
      <c r="D45" s="56">
        <f t="shared" ref="D45:H45" si="21">D29*D$5</f>
        <v>8.8313829699901633E-2</v>
      </c>
      <c r="E45" s="26">
        <f t="shared" si="21"/>
        <v>1.6745662238632896E-2</v>
      </c>
      <c r="F45" s="26">
        <f t="shared" si="21"/>
        <v>0.10319354487161526</v>
      </c>
      <c r="G45" s="26">
        <f t="shared" si="21"/>
        <v>4.6075611298405351E-2</v>
      </c>
      <c r="H45" s="27">
        <f t="shared" si="21"/>
        <v>1.4911538009866497E-3</v>
      </c>
    </row>
    <row r="46" spans="2:8" ht="14.5" thickBot="1" x14ac:dyDescent="0.4">
      <c r="B46" s="176"/>
      <c r="C46" s="50" t="s">
        <v>20</v>
      </c>
      <c r="D46" s="56">
        <f t="shared" ref="D46:H46" si="22">D30*D$5</f>
        <v>0</v>
      </c>
      <c r="E46" s="26">
        <f t="shared" si="22"/>
        <v>1.6707102062626187E-2</v>
      </c>
      <c r="F46" s="26">
        <f t="shared" si="22"/>
        <v>3.4259126382202951E-2</v>
      </c>
      <c r="G46" s="26">
        <f t="shared" si="22"/>
        <v>9.2151222596810693E-3</v>
      </c>
      <c r="H46" s="27">
        <f t="shared" si="22"/>
        <v>8.9597465766782611E-6</v>
      </c>
    </row>
    <row r="47" spans="2:8" ht="14.5" thickBot="1" x14ac:dyDescent="0.4">
      <c r="B47" s="176"/>
      <c r="C47" s="48" t="s">
        <v>19</v>
      </c>
      <c r="D47" s="56">
        <f t="shared" ref="D47:H47" si="23">D31*D$5</f>
        <v>0</v>
      </c>
      <c r="E47" s="26">
        <f t="shared" si="23"/>
        <v>6.6495414505902115E-2</v>
      </c>
      <c r="F47" s="26">
        <f t="shared" si="23"/>
        <v>7.6250432745696858E-2</v>
      </c>
      <c r="G47" s="26">
        <f t="shared" si="23"/>
        <v>3.6860489038724277E-2</v>
      </c>
      <c r="H47" s="27">
        <f t="shared" si="23"/>
        <v>6.5725077980317978E-4</v>
      </c>
    </row>
    <row r="48" spans="2:8" ht="14.5" thickBot="1" x14ac:dyDescent="0.4">
      <c r="B48" s="176"/>
      <c r="C48" s="50" t="s">
        <v>32</v>
      </c>
      <c r="D48" s="56">
        <f t="shared" ref="D48:H48" si="24">D32*D$5</f>
        <v>7.737951841342898E-2</v>
      </c>
      <c r="E48" s="26">
        <f t="shared" si="24"/>
        <v>6.6557926270230439E-2</v>
      </c>
      <c r="F48" s="26">
        <f t="shared" si="24"/>
        <v>0.14130431484157768</v>
      </c>
      <c r="G48" s="26">
        <f t="shared" si="24"/>
        <v>4.6075611298405351E-2</v>
      </c>
      <c r="H48" s="27">
        <f t="shared" si="24"/>
        <v>7.918574749413626E-3</v>
      </c>
    </row>
    <row r="49" spans="2:15" ht="14.5" thickBot="1" x14ac:dyDescent="0.4">
      <c r="B49" s="176"/>
      <c r="C49" s="50" t="s">
        <v>26</v>
      </c>
      <c r="D49" s="56">
        <f t="shared" ref="D49:H49" si="25">D33*D$5</f>
        <v>8.8313829699901633E-2</v>
      </c>
      <c r="E49" s="26">
        <f t="shared" si="25"/>
        <v>0</v>
      </c>
      <c r="F49" s="26">
        <f t="shared" si="25"/>
        <v>0.11710609378286128</v>
      </c>
      <c r="G49" s="26">
        <f t="shared" si="25"/>
        <v>4.6075611298405351E-2</v>
      </c>
      <c r="H49" s="27">
        <f t="shared" si="25"/>
        <v>0.12037023283072645</v>
      </c>
    </row>
    <row r="50" spans="2:15" ht="14.5" thickBot="1" x14ac:dyDescent="0.4">
      <c r="B50" s="176"/>
      <c r="C50" s="48" t="s">
        <v>30</v>
      </c>
      <c r="D50" s="56">
        <f t="shared" ref="D50:H50" si="26">D34*D$5</f>
        <v>8.8313829699901633E-2</v>
      </c>
      <c r="E50" s="26">
        <f t="shared" si="26"/>
        <v>6.7776270747858788E-2</v>
      </c>
      <c r="F50" s="26">
        <f t="shared" si="26"/>
        <v>1.3603367364055664E-2</v>
      </c>
      <c r="G50" s="26">
        <f t="shared" si="26"/>
        <v>0</v>
      </c>
      <c r="H50" s="27">
        <f t="shared" si="26"/>
        <v>0</v>
      </c>
    </row>
    <row r="51" spans="2:15" ht="14.5" thickBot="1" x14ac:dyDescent="0.4">
      <c r="B51" s="176"/>
      <c r="C51" s="50" t="s">
        <v>28</v>
      </c>
      <c r="D51" s="56">
        <f t="shared" ref="D51:H51" si="27">D35*D$5</f>
        <v>8.8313829699901633E-2</v>
      </c>
      <c r="E51" s="26">
        <f t="shared" si="27"/>
        <v>5.8013599980244267E-6</v>
      </c>
      <c r="F51" s="26">
        <f t="shared" si="27"/>
        <v>9.1909992391548984E-2</v>
      </c>
      <c r="G51" s="26">
        <f t="shared" si="27"/>
        <v>3.6860489038724277E-2</v>
      </c>
      <c r="H51" s="27">
        <f t="shared" si="27"/>
        <v>3.6330922734640112E-4</v>
      </c>
    </row>
    <row r="52" spans="2:15" ht="14.5" thickBot="1" x14ac:dyDescent="0.4">
      <c r="B52" s="176"/>
      <c r="C52" s="50" t="s">
        <v>23</v>
      </c>
      <c r="D52" s="56">
        <f t="shared" ref="D52:H52" si="28">D36*D$5</f>
        <v>0</v>
      </c>
      <c r="E52" s="26">
        <f t="shared" si="28"/>
        <v>1.6639727069385386E-2</v>
      </c>
      <c r="F52" s="26">
        <f t="shared" si="28"/>
        <v>0.10497692026483441</v>
      </c>
      <c r="G52" s="26">
        <f t="shared" si="28"/>
        <v>4.6075611298405351E-2</v>
      </c>
      <c r="H52" s="27">
        <f t="shared" si="28"/>
        <v>4.4916575788998857E-4</v>
      </c>
    </row>
    <row r="53" spans="2:15" ht="14.5" thickBot="1" x14ac:dyDescent="0.4">
      <c r="B53" s="177"/>
      <c r="C53" s="48" t="s">
        <v>21</v>
      </c>
      <c r="D53" s="140">
        <f t="shared" ref="D53:H53" si="29">D37*D$5</f>
        <v>0</v>
      </c>
      <c r="E53" s="141">
        <f t="shared" si="29"/>
        <v>1.6736018096218684E-2</v>
      </c>
      <c r="F53" s="141">
        <f t="shared" si="29"/>
        <v>6.8982081607963638E-2</v>
      </c>
      <c r="G53" s="141">
        <f t="shared" si="29"/>
        <v>3.6860489038724277E-2</v>
      </c>
      <c r="H53" s="142">
        <f t="shared" si="29"/>
        <v>8.1612899429972494E-5</v>
      </c>
    </row>
    <row r="54" spans="2:15" ht="14.5" thickBot="1" x14ac:dyDescent="0.4">
      <c r="C54" s="49" t="s">
        <v>54</v>
      </c>
      <c r="D54" s="145">
        <f>MAX(D39:D53)</f>
        <v>8.8313829699901633E-2</v>
      </c>
      <c r="E54" s="146">
        <f t="shared" ref="E54:H54" si="30">MAX(E39:E53)</f>
        <v>6.7776300697141315E-2</v>
      </c>
      <c r="F54" s="146">
        <f t="shared" si="30"/>
        <v>0.14130431484157768</v>
      </c>
      <c r="G54" s="146">
        <f t="shared" si="30"/>
        <v>4.6075611298405351E-2</v>
      </c>
      <c r="H54" s="147">
        <f t="shared" si="30"/>
        <v>0.12037023283072645</v>
      </c>
    </row>
    <row r="55" spans="2:15" ht="14.5" thickBot="1" x14ac:dyDescent="0.4">
      <c r="C55" s="156" t="s">
        <v>55</v>
      </c>
      <c r="D55" s="148">
        <f>MIN(D39:D53)</f>
        <v>0</v>
      </c>
      <c r="E55" s="149">
        <f t="shared" ref="E55:H55" si="31">MIN(E39:E53)</f>
        <v>0</v>
      </c>
      <c r="F55" s="149">
        <f t="shared" si="31"/>
        <v>7.1302179977134027E-3</v>
      </c>
      <c r="G55" s="149">
        <f t="shared" si="31"/>
        <v>0</v>
      </c>
      <c r="H55" s="150">
        <f t="shared" si="31"/>
        <v>0</v>
      </c>
    </row>
    <row r="56" spans="2:15" ht="14.5" thickBot="1" x14ac:dyDescent="0.4">
      <c r="D56" s="134"/>
      <c r="E56" s="134"/>
      <c r="F56" s="134"/>
      <c r="G56" s="134"/>
      <c r="H56" s="134"/>
    </row>
    <row r="57" spans="2:15" ht="15" customHeight="1" thickBot="1" x14ac:dyDescent="0.4">
      <c r="D57" s="169" t="s">
        <v>57</v>
      </c>
      <c r="E57" s="170"/>
      <c r="F57" s="170"/>
      <c r="G57" s="170"/>
      <c r="H57" s="171"/>
      <c r="I57" s="155" t="s">
        <v>56</v>
      </c>
      <c r="J57" s="172" t="s">
        <v>58</v>
      </c>
      <c r="K57" s="173"/>
      <c r="L57" s="173"/>
      <c r="M57" s="173"/>
      <c r="N57" s="174"/>
      <c r="O57" s="155" t="s">
        <v>56</v>
      </c>
    </row>
    <row r="58" spans="2:15" ht="14.5" thickBot="1" x14ac:dyDescent="0.4">
      <c r="B58" s="175" t="s">
        <v>0</v>
      </c>
      <c r="C58" s="48" t="s">
        <v>22</v>
      </c>
      <c r="D58" s="36">
        <f>(D39-D$54)^2</f>
        <v>7.7993325162632274E-3</v>
      </c>
      <c r="E58" s="28">
        <f t="shared" ref="E58:H58" si="32">(E39-E$54)^2</f>
        <v>1.6783106677383478E-6</v>
      </c>
      <c r="F58" s="28">
        <f t="shared" si="32"/>
        <v>6.3374828214329999E-3</v>
      </c>
      <c r="G58" s="28">
        <f t="shared" si="32"/>
        <v>8.4918478260869631E-5</v>
      </c>
      <c r="H58" s="157">
        <f t="shared" si="32"/>
        <v>1.4283293323505038E-2</v>
      </c>
      <c r="I58" s="160">
        <f>SQRT(SUM(D58:H58))</f>
        <v>0.16883928882262525</v>
      </c>
      <c r="J58" s="36">
        <f>(D39-D$55)^2</f>
        <v>0</v>
      </c>
      <c r="K58" s="28">
        <f t="shared" ref="K58:N58" si="33">(E39-E$55)^2</f>
        <v>4.4196973530639047E-3</v>
      </c>
      <c r="L58" s="28">
        <f t="shared" si="33"/>
        <v>2.977425230717352E-3</v>
      </c>
      <c r="M58" s="28">
        <f t="shared" si="33"/>
        <v>1.3586956521739126E-3</v>
      </c>
      <c r="N58" s="157">
        <f t="shared" si="33"/>
        <v>7.3530614354903164E-7</v>
      </c>
      <c r="O58" s="125">
        <f>SQRT(SUM(J58:N58))</f>
        <v>9.3576458268619669E-2</v>
      </c>
    </row>
    <row r="59" spans="2:15" ht="14.5" thickBot="1" x14ac:dyDescent="0.4">
      <c r="B59" s="176"/>
      <c r="C59" s="48" t="s">
        <v>29</v>
      </c>
      <c r="D59" s="56">
        <f t="shared" ref="D59:H59" si="34">(D40-D$54)^2</f>
        <v>0</v>
      </c>
      <c r="E59" s="26">
        <f t="shared" si="34"/>
        <v>1.5317677119514918E-6</v>
      </c>
      <c r="F59" s="26">
        <f t="shared" si="34"/>
        <v>1.3699201884512935E-2</v>
      </c>
      <c r="G59" s="26">
        <f>(G40-G$54)^2</f>
        <v>8.4918478260869631E-5</v>
      </c>
      <c r="H59" s="158">
        <f t="shared" si="34"/>
        <v>1.448500980724198E-2</v>
      </c>
      <c r="I59" s="53">
        <f t="shared" ref="I59:I72" si="35">SQRT(SUM(D59:H59))</f>
        <v>0.1681388174626185</v>
      </c>
      <c r="J59" s="56">
        <f t="shared" ref="J59:J72" si="36">(D40-D$55)^2</f>
        <v>7.7993325162632274E-3</v>
      </c>
      <c r="K59" s="26">
        <f t="shared" ref="K59:K72" si="37">(E40-E$55)^2</f>
        <v>4.4273925640326362E-3</v>
      </c>
      <c r="L59" s="26">
        <f t="shared" ref="L59:L72" si="38">(F40-F$55)^2</f>
        <v>2.934542757888668E-4</v>
      </c>
      <c r="M59" s="26">
        <f t="shared" ref="M59:M72" si="39">(G40-G$55)^2</f>
        <v>1.3586956521739126E-3</v>
      </c>
      <c r="N59" s="158">
        <f t="shared" ref="N59:N72" si="40">(H40-H$55)^2</f>
        <v>2.7378750816706813E-10</v>
      </c>
      <c r="O59" s="151">
        <f t="shared" ref="O59:O72" si="41">SQRT(SUM(J59:N59))</f>
        <v>0.1178086384016306</v>
      </c>
    </row>
    <row r="60" spans="2:15" ht="14.5" thickBot="1" x14ac:dyDescent="0.4">
      <c r="B60" s="176"/>
      <c r="C60" s="144" t="s">
        <v>18</v>
      </c>
      <c r="D60" s="56">
        <f t="shared" ref="D60:H60" si="42">(D41-D$54)^2</f>
        <v>7.7993325162632274E-3</v>
      </c>
      <c r="E60" s="26">
        <f t="shared" si="42"/>
        <v>5.8876933422994903E-15</v>
      </c>
      <c r="F60" s="26">
        <f t="shared" si="42"/>
        <v>1.4842820028970305E-2</v>
      </c>
      <c r="G60" s="26">
        <f t="shared" si="42"/>
        <v>1.358695652173913E-3</v>
      </c>
      <c r="H60" s="158">
        <f t="shared" si="42"/>
        <v>1.4473084983026612E-2</v>
      </c>
      <c r="I60" s="53">
        <f t="shared" si="35"/>
        <v>0.19614773304945418</v>
      </c>
      <c r="J60" s="56">
        <f t="shared" si="36"/>
        <v>0</v>
      </c>
      <c r="K60" s="26">
        <f t="shared" si="37"/>
        <v>4.5936165350670497E-3</v>
      </c>
      <c r="L60" s="26">
        <f t="shared" si="38"/>
        <v>1.5234925684115059E-4</v>
      </c>
      <c r="M60" s="26">
        <f t="shared" si="39"/>
        <v>8.4918478260869536E-5</v>
      </c>
      <c r="N60" s="158">
        <f t="shared" si="40"/>
        <v>4.3688765652785111E-9</v>
      </c>
      <c r="O60" s="151">
        <f t="shared" si="41"/>
        <v>6.9504594373650114E-2</v>
      </c>
    </row>
    <row r="61" spans="2:15" ht="14.5" thickBot="1" x14ac:dyDescent="0.4">
      <c r="B61" s="176"/>
      <c r="C61" s="50" t="s">
        <v>24</v>
      </c>
      <c r="D61" s="56">
        <f t="shared" ref="D61:H61" si="43">(D42-D$54)^2</f>
        <v>0</v>
      </c>
      <c r="E61" s="26">
        <f t="shared" si="43"/>
        <v>1.5520530623843657E-6</v>
      </c>
      <c r="F61" s="26">
        <f t="shared" si="43"/>
        <v>8.2256715061200802E-3</v>
      </c>
      <c r="G61" s="26">
        <f t="shared" si="43"/>
        <v>1.358695652173913E-3</v>
      </c>
      <c r="H61" s="158">
        <f t="shared" si="43"/>
        <v>1.2076424240126726E-2</v>
      </c>
      <c r="I61" s="53">
        <f t="shared" si="35"/>
        <v>0.1471813284743792</v>
      </c>
      <c r="J61" s="56">
        <f t="shared" si="36"/>
        <v>7.7993325162632274E-3</v>
      </c>
      <c r="K61" s="26">
        <f t="shared" si="37"/>
        <v>4.4263056313320597E-3</v>
      </c>
      <c r="L61" s="26">
        <f t="shared" si="38"/>
        <v>1.8903894449452271E-3</v>
      </c>
      <c r="M61" s="26">
        <f t="shared" si="39"/>
        <v>8.4918478260869536E-5</v>
      </c>
      <c r="N61" s="158">
        <f t="shared" si="40"/>
        <v>1.097769087484623E-4</v>
      </c>
      <c r="O61" s="151">
        <f t="shared" si="41"/>
        <v>0.11962743405903951</v>
      </c>
    </row>
    <row r="62" spans="2:15" ht="14.5" thickBot="1" x14ac:dyDescent="0.4">
      <c r="B62" s="176"/>
      <c r="C62" s="50" t="s">
        <v>31</v>
      </c>
      <c r="D62" s="56">
        <f t="shared" ref="D62:H62" si="44">(D43-D$54)^2</f>
        <v>0</v>
      </c>
      <c r="E62" s="26">
        <f t="shared" si="44"/>
        <v>0</v>
      </c>
      <c r="F62" s="26">
        <f t="shared" si="44"/>
        <v>1.8002688263866671E-2</v>
      </c>
      <c r="G62" s="26">
        <f t="shared" si="44"/>
        <v>2.122961956521739E-3</v>
      </c>
      <c r="H62" s="158">
        <f t="shared" si="44"/>
        <v>1.4484412937240473E-2</v>
      </c>
      <c r="I62" s="53">
        <f t="shared" si="35"/>
        <v>0.18603780034613634</v>
      </c>
      <c r="J62" s="56">
        <f t="shared" si="36"/>
        <v>7.7993325162632274E-3</v>
      </c>
      <c r="K62" s="26">
        <f t="shared" si="37"/>
        <v>4.5936269361893179E-3</v>
      </c>
      <c r="L62" s="26">
        <f t="shared" si="38"/>
        <v>0</v>
      </c>
      <c r="M62" s="26">
        <f t="shared" si="39"/>
        <v>0</v>
      </c>
      <c r="N62" s="158">
        <f t="shared" si="40"/>
        <v>3.6199632301249903E-10</v>
      </c>
      <c r="O62" s="151">
        <f t="shared" si="41"/>
        <v>0.11132367140212754</v>
      </c>
    </row>
    <row r="63" spans="2:15" ht="14.5" thickBot="1" x14ac:dyDescent="0.4">
      <c r="B63" s="176"/>
      <c r="C63" s="48" t="s">
        <v>25</v>
      </c>
      <c r="D63" s="56">
        <f t="shared" ref="D63:H63" si="45">(D44-D$54)^2</f>
        <v>0</v>
      </c>
      <c r="E63" s="26">
        <f t="shared" si="45"/>
        <v>1.8609239759884726E-15</v>
      </c>
      <c r="F63" s="26">
        <f t="shared" si="45"/>
        <v>1.7844207675262874E-2</v>
      </c>
      <c r="G63" s="26">
        <f t="shared" si="45"/>
        <v>1.358695652173913E-3</v>
      </c>
      <c r="H63" s="158">
        <f t="shared" si="45"/>
        <v>1.4488984116223983E-2</v>
      </c>
      <c r="I63" s="53">
        <f t="shared" si="35"/>
        <v>0.18355350022176811</v>
      </c>
      <c r="J63" s="56">
        <f t="shared" si="36"/>
        <v>7.7993325162632274E-3</v>
      </c>
      <c r="K63" s="26">
        <f t="shared" si="37"/>
        <v>4.5936210886650345E-3</v>
      </c>
      <c r="L63" s="26">
        <f t="shared" si="38"/>
        <v>3.5032628397392299E-7</v>
      </c>
      <c r="M63" s="26">
        <f t="shared" si="39"/>
        <v>8.4918478260869536E-5</v>
      </c>
      <c r="N63" s="158">
        <f t="shared" si="40"/>
        <v>1.3469892665273761E-15</v>
      </c>
      <c r="O63" s="151">
        <f t="shared" si="41"/>
        <v>0.11170596407298247</v>
      </c>
    </row>
    <row r="64" spans="2:15" ht="14.5" thickBot="1" x14ac:dyDescent="0.4">
      <c r="B64" s="176"/>
      <c r="C64" s="48" t="s">
        <v>27</v>
      </c>
      <c r="D64" s="56">
        <f t="shared" ref="D64:H64" si="46">(D45-D$54)^2</f>
        <v>0</v>
      </c>
      <c r="E64" s="26">
        <f t="shared" si="46"/>
        <v>2.604126061482998E-3</v>
      </c>
      <c r="F64" s="26">
        <f t="shared" si="46"/>
        <v>1.4524307877033893E-3</v>
      </c>
      <c r="G64" s="26">
        <f t="shared" si="46"/>
        <v>0</v>
      </c>
      <c r="H64" s="158">
        <f t="shared" si="46"/>
        <v>1.4132235430959122E-2</v>
      </c>
      <c r="I64" s="53">
        <f t="shared" si="35"/>
        <v>0.13486583066197869</v>
      </c>
      <c r="J64" s="56">
        <f t="shared" si="36"/>
        <v>7.7993325162632274E-3</v>
      </c>
      <c r="K64" s="26">
        <f t="shared" si="37"/>
        <v>2.8041720381037568E-4</v>
      </c>
      <c r="L64" s="26">
        <f t="shared" si="38"/>
        <v>9.2281627700821142E-3</v>
      </c>
      <c r="M64" s="26">
        <f t="shared" si="39"/>
        <v>2.122961956521739E-3</v>
      </c>
      <c r="N64" s="158">
        <f t="shared" si="40"/>
        <v>2.2235396581969327E-6</v>
      </c>
      <c r="O64" s="151">
        <f t="shared" si="41"/>
        <v>0.13940264698468122</v>
      </c>
    </row>
    <row r="65" spans="2:15" ht="14.5" thickBot="1" x14ac:dyDescent="0.4">
      <c r="B65" s="176"/>
      <c r="C65" s="50" t="s">
        <v>20</v>
      </c>
      <c r="D65" s="56">
        <f t="shared" ref="D65:H65" si="47">(D46-D$54)^2</f>
        <v>7.7993325162632274E-3</v>
      </c>
      <c r="E65" s="26">
        <f t="shared" si="47"/>
        <v>2.6080630491715621E-3</v>
      </c>
      <c r="F65" s="26">
        <f t="shared" si="47"/>
        <v>1.1458672372303053E-2</v>
      </c>
      <c r="G65" s="26">
        <f t="shared" si="47"/>
        <v>1.358695652173913E-3</v>
      </c>
      <c r="H65" s="158">
        <f t="shared" si="47"/>
        <v>1.4486836058437277E-2</v>
      </c>
      <c r="I65" s="53">
        <f t="shared" si="35"/>
        <v>0.19419474670636441</v>
      </c>
      <c r="J65" s="56">
        <f t="shared" si="36"/>
        <v>0</v>
      </c>
      <c r="K65" s="26">
        <f t="shared" si="37"/>
        <v>2.7912725933100816E-4</v>
      </c>
      <c r="L65" s="26">
        <f t="shared" si="38"/>
        <v>7.3597767013402733E-4</v>
      </c>
      <c r="M65" s="26">
        <f t="shared" si="39"/>
        <v>8.4918478260869536E-5</v>
      </c>
      <c r="N65" s="158">
        <f t="shared" si="40"/>
        <v>8.0277058718297821E-11</v>
      </c>
      <c r="O65" s="151">
        <f t="shared" si="41"/>
        <v>3.3166601996631545E-2</v>
      </c>
    </row>
    <row r="66" spans="2:15" ht="14.5" thickBot="1" x14ac:dyDescent="0.4">
      <c r="B66" s="176"/>
      <c r="C66" s="48" t="s">
        <v>19</v>
      </c>
      <c r="D66" s="56">
        <f t="shared" ref="D66:H66" si="48">(D47-D$54)^2</f>
        <v>7.7993325162632274E-3</v>
      </c>
      <c r="E66" s="26">
        <f t="shared" si="48"/>
        <v>1.6406694349072645E-6</v>
      </c>
      <c r="F66" s="26">
        <f t="shared" si="48"/>
        <v>4.2320075757447638E-3</v>
      </c>
      <c r="G66" s="26">
        <f t="shared" si="48"/>
        <v>8.4918478260869631E-5</v>
      </c>
      <c r="H66" s="158">
        <f t="shared" si="48"/>
        <v>1.4331198071524678E-2</v>
      </c>
      <c r="I66" s="53">
        <f t="shared" si="35"/>
        <v>0.16263178444335058</v>
      </c>
      <c r="J66" s="56">
        <f t="shared" si="36"/>
        <v>0</v>
      </c>
      <c r="K66" s="26">
        <f t="shared" si="37"/>
        <v>4.4216401503117371E-3</v>
      </c>
      <c r="L66" s="26">
        <f t="shared" si="38"/>
        <v>4.777604086807349E-3</v>
      </c>
      <c r="M66" s="26">
        <f t="shared" si="39"/>
        <v>1.3586956521739126E-3</v>
      </c>
      <c r="N66" s="158">
        <f t="shared" si="40"/>
        <v>4.3197858755188791E-7</v>
      </c>
      <c r="O66" s="151">
        <f t="shared" si="41"/>
        <v>0.10275393845435099</v>
      </c>
    </row>
    <row r="67" spans="2:15" ht="14.5" thickBot="1" x14ac:dyDescent="0.4">
      <c r="B67" s="176"/>
      <c r="C67" s="50" t="s">
        <v>32</v>
      </c>
      <c r="D67" s="56">
        <f t="shared" ref="D67:H67" si="49">(D48-D$54)^2</f>
        <v>1.1955916330948324E-4</v>
      </c>
      <c r="E67" s="26">
        <f t="shared" si="49"/>
        <v>1.4844362441504054E-6</v>
      </c>
      <c r="F67" s="26">
        <f t="shared" si="49"/>
        <v>0</v>
      </c>
      <c r="G67" s="26">
        <f t="shared" si="49"/>
        <v>0</v>
      </c>
      <c r="H67" s="158">
        <f t="shared" si="49"/>
        <v>1.2645375405236489E-2</v>
      </c>
      <c r="I67" s="53">
        <f t="shared" si="35"/>
        <v>0.11298857909005725</v>
      </c>
      <c r="J67" s="56">
        <f t="shared" si="36"/>
        <v>5.9875898698941946E-3</v>
      </c>
      <c r="K67" s="26">
        <f t="shared" si="37"/>
        <v>4.4299575493934309E-3</v>
      </c>
      <c r="L67" s="26">
        <f t="shared" si="38"/>
        <v>1.8002688263866671E-2</v>
      </c>
      <c r="M67" s="26">
        <f t="shared" si="39"/>
        <v>2.122961956521739E-3</v>
      </c>
      <c r="N67" s="158">
        <f t="shared" si="40"/>
        <v>6.2703826062051064E-5</v>
      </c>
      <c r="O67" s="151">
        <f t="shared" si="41"/>
        <v>0.17494542424921575</v>
      </c>
    </row>
    <row r="68" spans="2:15" ht="14.5" thickBot="1" x14ac:dyDescent="0.4">
      <c r="B68" s="176"/>
      <c r="C68" s="50" t="s">
        <v>26</v>
      </c>
      <c r="D68" s="56">
        <f t="shared" ref="D68:H68" si="50">(D49-D$54)^2</f>
        <v>0</v>
      </c>
      <c r="E68" s="26">
        <f t="shared" si="50"/>
        <v>4.5936269361893179E-3</v>
      </c>
      <c r="F68" s="26">
        <f t="shared" si="50"/>
        <v>5.855539024065058E-4</v>
      </c>
      <c r="G68" s="26">
        <f>(G49-G$54)^2</f>
        <v>0</v>
      </c>
      <c r="H68" s="158">
        <f t="shared" si="50"/>
        <v>0</v>
      </c>
      <c r="I68" s="53">
        <f t="shared" si="35"/>
        <v>7.1966525819965932E-2</v>
      </c>
      <c r="J68" s="56">
        <f t="shared" si="36"/>
        <v>7.7993325162632274E-3</v>
      </c>
      <c r="K68" s="26">
        <f t="shared" si="37"/>
        <v>0</v>
      </c>
      <c r="L68" s="26">
        <f t="shared" si="38"/>
        <v>1.2094693254710276E-2</v>
      </c>
      <c r="M68" s="26">
        <f t="shared" si="39"/>
        <v>2.122961956521739E-3</v>
      </c>
      <c r="N68" s="158">
        <f t="shared" si="40"/>
        <v>1.4488992951723297E-2</v>
      </c>
      <c r="O68" s="151">
        <f t="shared" si="41"/>
        <v>0.19106538325719427</v>
      </c>
    </row>
    <row r="69" spans="2:15" ht="14.5" thickBot="1" x14ac:dyDescent="0.4">
      <c r="B69" s="176"/>
      <c r="C69" s="48" t="s">
        <v>30</v>
      </c>
      <c r="D69" s="56">
        <f t="shared" ref="D69:H69" si="51">(D50-D$54)^2</f>
        <v>0</v>
      </c>
      <c r="E69" s="26">
        <f t="shared" si="51"/>
        <v>8.9695952383404186E-16</v>
      </c>
      <c r="F69" s="26">
        <f t="shared" si="51"/>
        <v>1.630753198665684E-2</v>
      </c>
      <c r="G69" s="26">
        <f t="shared" si="51"/>
        <v>2.122961956521739E-3</v>
      </c>
      <c r="H69" s="158">
        <f t="shared" si="51"/>
        <v>1.4488992951723297E-2</v>
      </c>
      <c r="I69" s="53">
        <f t="shared" si="35"/>
        <v>0.18143728088489083</v>
      </c>
      <c r="J69" s="56">
        <f t="shared" si="36"/>
        <v>7.7993325162632274E-3</v>
      </c>
      <c r="K69" s="26">
        <f t="shared" si="37"/>
        <v>4.5936228764870586E-3</v>
      </c>
      <c r="L69" s="26">
        <f t="shared" si="38"/>
        <v>4.1901662718977221E-5</v>
      </c>
      <c r="M69" s="26">
        <f t="shared" si="39"/>
        <v>0</v>
      </c>
      <c r="N69" s="158">
        <f t="shared" si="40"/>
        <v>0</v>
      </c>
      <c r="O69" s="151">
        <f t="shared" si="41"/>
        <v>0.11151169021887017</v>
      </c>
    </row>
    <row r="70" spans="2:15" ht="14.5" thickBot="1" x14ac:dyDescent="0.4">
      <c r="B70" s="176"/>
      <c r="C70" s="50" t="s">
        <v>28</v>
      </c>
      <c r="D70" s="56">
        <f t="shared" ref="D70:H70" si="52">(D51-D$54)^2</f>
        <v>0</v>
      </c>
      <c r="E70" s="26">
        <f t="shared" si="52"/>
        <v>4.5928405804057382E-3</v>
      </c>
      <c r="F70" s="26">
        <f t="shared" si="52"/>
        <v>2.4397990902974092E-3</v>
      </c>
      <c r="G70" s="26">
        <f t="shared" si="52"/>
        <v>8.4918478260869631E-5</v>
      </c>
      <c r="H70" s="158">
        <f t="shared" si="52"/>
        <v>1.4401661712747498E-2</v>
      </c>
      <c r="I70" s="53">
        <f t="shared" si="35"/>
        <v>0.14669430753001805</v>
      </c>
      <c r="J70" s="56">
        <f t="shared" si="36"/>
        <v>7.7993325162632274E-3</v>
      </c>
      <c r="K70" s="26">
        <f t="shared" si="37"/>
        <v>3.3655777826677979E-11</v>
      </c>
      <c r="L70" s="26">
        <f t="shared" si="38"/>
        <v>7.1876101462696584E-3</v>
      </c>
      <c r="M70" s="26">
        <f t="shared" si="39"/>
        <v>1.3586956521739126E-3</v>
      </c>
      <c r="N70" s="158">
        <f>(H51-H$55)^2</f>
        <v>1.3199359467503898E-7</v>
      </c>
      <c r="O70" s="151">
        <f t="shared" si="41"/>
        <v>0.12785057818389894</v>
      </c>
    </row>
    <row r="71" spans="2:15" ht="14.5" thickBot="1" x14ac:dyDescent="0.4">
      <c r="B71" s="176"/>
      <c r="C71" s="50" t="s">
        <v>23</v>
      </c>
      <c r="D71" s="56">
        <f t="shared" ref="D71:H71" si="53">(D52-D$54)^2</f>
        <v>7.7993325162632274E-3</v>
      </c>
      <c r="E71" s="26">
        <f t="shared" si="53"/>
        <v>2.6149491623869031E-3</v>
      </c>
      <c r="F71" s="26">
        <f t="shared" si="53"/>
        <v>1.319679596734397E-3</v>
      </c>
      <c r="G71" s="26">
        <f t="shared" si="53"/>
        <v>0</v>
      </c>
      <c r="H71" s="158">
        <f t="shared" si="53"/>
        <v>1.4381062327887743E-2</v>
      </c>
      <c r="I71" s="53">
        <f t="shared" si="35"/>
        <v>0.16160143440969907</v>
      </c>
      <c r="J71" s="56">
        <f t="shared" si="36"/>
        <v>0</v>
      </c>
      <c r="K71" s="26">
        <f t="shared" si="37"/>
        <v>2.7688051694363679E-4</v>
      </c>
      <c r="L71" s="26">
        <f t="shared" si="38"/>
        <v>9.5739771445506223E-3</v>
      </c>
      <c r="M71" s="26">
        <f t="shared" si="39"/>
        <v>2.122961956521739E-3</v>
      </c>
      <c r="N71" s="158">
        <f t="shared" si="40"/>
        <v>2.0174987806088782E-7</v>
      </c>
      <c r="O71" s="151">
        <f t="shared" si="41"/>
        <v>0.10942587156561313</v>
      </c>
    </row>
    <row r="72" spans="2:15" ht="14.5" thickBot="1" x14ac:dyDescent="0.4">
      <c r="B72" s="177"/>
      <c r="C72" s="48" t="s">
        <v>21</v>
      </c>
      <c r="D72" s="57">
        <f t="shared" ref="D72:H72" si="54">(D53-D$54)^2</f>
        <v>7.7993325162632274E-3</v>
      </c>
      <c r="E72" s="30">
        <f t="shared" si="54"/>
        <v>2.6051104479820454E-3</v>
      </c>
      <c r="F72" s="30">
        <f t="shared" si="54"/>
        <v>5.2305054198972679E-3</v>
      </c>
      <c r="G72" s="30">
        <f t="shared" si="54"/>
        <v>8.4918478260869631E-5</v>
      </c>
      <c r="H72" s="159">
        <f t="shared" si="54"/>
        <v>1.4469352084975897E-2</v>
      </c>
      <c r="I72" s="161">
        <f t="shared" si="35"/>
        <v>0.17375045020770249</v>
      </c>
      <c r="J72" s="57">
        <f t="shared" si="36"/>
        <v>0</v>
      </c>
      <c r="K72" s="30">
        <f t="shared" si="37"/>
        <v>2.8009430171695924E-4</v>
      </c>
      <c r="L72" s="30">
        <f t="shared" si="38"/>
        <v>3.8256530320609967E-3</v>
      </c>
      <c r="M72" s="30">
        <f t="shared" si="39"/>
        <v>1.3586956521739126E-3</v>
      </c>
      <c r="N72" s="159">
        <f t="shared" si="40"/>
        <v>6.6606653533668047E-9</v>
      </c>
      <c r="O72" s="126">
        <f t="shared" si="41"/>
        <v>7.3921915874909663E-2</v>
      </c>
    </row>
    <row r="73" spans="2:15" ht="14.5" thickBot="1" x14ac:dyDescent="0.4"/>
    <row r="74" spans="2:15" ht="14.5" thickBot="1" x14ac:dyDescent="0.4">
      <c r="D74" s="155" t="s">
        <v>59</v>
      </c>
      <c r="G74" s="155" t="s">
        <v>60</v>
      </c>
      <c r="H74" s="155" t="s">
        <v>53</v>
      </c>
    </row>
    <row r="75" spans="2:15" ht="14.5" thickBot="1" x14ac:dyDescent="0.4">
      <c r="B75" s="175" t="s">
        <v>0</v>
      </c>
      <c r="C75" s="48" t="s">
        <v>22</v>
      </c>
      <c r="D75" s="162">
        <f>O58/(I58+O58)</f>
        <v>0.35659620013612242</v>
      </c>
      <c r="F75" s="50" t="s">
        <v>26</v>
      </c>
      <c r="G75" s="162">
        <v>0.66341924725910051</v>
      </c>
      <c r="H75" s="166">
        <v>1</v>
      </c>
    </row>
    <row r="76" spans="2:15" ht="14.5" thickBot="1" x14ac:dyDescent="0.4">
      <c r="B76" s="176"/>
      <c r="C76" s="48" t="s">
        <v>29</v>
      </c>
      <c r="D76" s="163">
        <f t="shared" ref="D76:D89" si="55">O59/(I59+O59)</f>
        <v>0.41199400793955365</v>
      </c>
      <c r="F76" s="50" t="s">
        <v>32</v>
      </c>
      <c r="G76" s="163">
        <v>0.64550844099151461</v>
      </c>
      <c r="H76" s="167">
        <v>2</v>
      </c>
    </row>
    <row r="77" spans="2:15" ht="14.5" thickBot="1" x14ac:dyDescent="0.4">
      <c r="B77" s="176"/>
      <c r="C77" s="144" t="s">
        <v>18</v>
      </c>
      <c r="D77" s="163">
        <f t="shared" si="55"/>
        <v>0.26163743810514484</v>
      </c>
      <c r="F77" s="165" t="s">
        <v>27</v>
      </c>
      <c r="G77" s="163">
        <v>0.60806048328861706</v>
      </c>
      <c r="H77" s="167">
        <v>3</v>
      </c>
    </row>
    <row r="78" spans="2:15" ht="14.5" thickBot="1" x14ac:dyDescent="0.4">
      <c r="B78" s="176"/>
      <c r="C78" s="50" t="s">
        <v>24</v>
      </c>
      <c r="D78" s="163">
        <f t="shared" si="55"/>
        <v>0.44836396272425932</v>
      </c>
      <c r="F78" s="48" t="s">
        <v>25</v>
      </c>
      <c r="G78" s="163">
        <v>0.46151781200773545</v>
      </c>
      <c r="H78" s="167">
        <v>4</v>
      </c>
    </row>
    <row r="79" spans="2:15" ht="14.5" thickBot="1" x14ac:dyDescent="0.4">
      <c r="B79" s="176"/>
      <c r="C79" s="50" t="s">
        <v>31</v>
      </c>
      <c r="D79" s="163">
        <f t="shared" si="55"/>
        <v>0.37437153760245839</v>
      </c>
      <c r="F79" s="50" t="s">
        <v>31</v>
      </c>
      <c r="G79" s="163">
        <v>0.458181614475349</v>
      </c>
      <c r="H79" s="167">
        <v>5</v>
      </c>
    </row>
    <row r="80" spans="2:15" ht="14.5" thickBot="1" x14ac:dyDescent="0.4">
      <c r="B80" s="176"/>
      <c r="C80" s="48" t="s">
        <v>25</v>
      </c>
      <c r="D80" s="163">
        <f t="shared" si="55"/>
        <v>0.37833152728838199</v>
      </c>
      <c r="F80" s="50" t="s">
        <v>24</v>
      </c>
      <c r="G80" s="163">
        <v>0.4411036791645046</v>
      </c>
      <c r="H80" s="167">
        <v>6</v>
      </c>
    </row>
    <row r="81" spans="2:8" ht="14.5" thickBot="1" x14ac:dyDescent="0.4">
      <c r="B81" s="176"/>
      <c r="C81" s="48" t="s">
        <v>27</v>
      </c>
      <c r="D81" s="163">
        <f t="shared" si="55"/>
        <v>0.50827075783850617</v>
      </c>
      <c r="F81" s="48" t="s">
        <v>30</v>
      </c>
      <c r="G81" s="163">
        <v>0.42573076261049686</v>
      </c>
      <c r="H81" s="167">
        <v>7</v>
      </c>
    </row>
    <row r="82" spans="2:8" ht="14.5" thickBot="1" x14ac:dyDescent="0.4">
      <c r="B82" s="176"/>
      <c r="C82" s="50" t="s">
        <v>20</v>
      </c>
      <c r="D82" s="163">
        <f t="shared" si="55"/>
        <v>0.14587616666523806</v>
      </c>
      <c r="F82" s="49" t="s">
        <v>18</v>
      </c>
      <c r="G82" s="163">
        <v>0.39608739591929204</v>
      </c>
      <c r="H82" s="167">
        <v>8</v>
      </c>
    </row>
    <row r="83" spans="2:8" ht="14.5" thickBot="1" x14ac:dyDescent="0.4">
      <c r="B83" s="176"/>
      <c r="C83" s="48" t="s">
        <v>19</v>
      </c>
      <c r="D83" s="163">
        <f t="shared" si="55"/>
        <v>0.38718713777213865</v>
      </c>
      <c r="F83" s="48" t="s">
        <v>29</v>
      </c>
      <c r="G83" s="163">
        <v>0.3958492034647576</v>
      </c>
      <c r="H83" s="167">
        <v>9</v>
      </c>
    </row>
    <row r="84" spans="2:8" ht="14.5" thickBot="1" x14ac:dyDescent="0.4">
      <c r="B84" s="176"/>
      <c r="C84" s="50" t="s">
        <v>32</v>
      </c>
      <c r="D84" s="163">
        <f t="shared" si="55"/>
        <v>0.60758862176857009</v>
      </c>
      <c r="F84" s="48" t="s">
        <v>22</v>
      </c>
      <c r="G84" s="163">
        <v>0.37991981829539573</v>
      </c>
      <c r="H84" s="167">
        <v>10</v>
      </c>
    </row>
    <row r="85" spans="2:8" ht="14.5" thickBot="1" x14ac:dyDescent="0.4">
      <c r="B85" s="176"/>
      <c r="C85" s="50" t="s">
        <v>26</v>
      </c>
      <c r="D85" s="163">
        <f t="shared" si="55"/>
        <v>0.72639621530156395</v>
      </c>
      <c r="F85" s="50" t="s">
        <v>28</v>
      </c>
      <c r="G85" s="163">
        <v>0.37655032986680131</v>
      </c>
      <c r="H85" s="167">
        <v>11</v>
      </c>
    </row>
    <row r="86" spans="2:8" ht="14.5" thickBot="1" x14ac:dyDescent="0.4">
      <c r="B86" s="176"/>
      <c r="C86" s="48" t="s">
        <v>30</v>
      </c>
      <c r="D86" s="163">
        <f t="shared" si="55"/>
        <v>0.38065226786331091</v>
      </c>
      <c r="F86" s="50" t="s">
        <v>23</v>
      </c>
      <c r="G86" s="163">
        <v>0.32566465067753253</v>
      </c>
      <c r="H86" s="167">
        <v>12</v>
      </c>
    </row>
    <row r="87" spans="2:8" ht="14.5" thickBot="1" x14ac:dyDescent="0.4">
      <c r="B87" s="176"/>
      <c r="C87" s="50" t="s">
        <v>28</v>
      </c>
      <c r="D87" s="163">
        <f t="shared" si="55"/>
        <v>0.46568187876252271</v>
      </c>
      <c r="F87" s="48" t="s">
        <v>19</v>
      </c>
      <c r="G87" s="163">
        <v>0.31379756165629125</v>
      </c>
      <c r="H87" s="167">
        <v>13</v>
      </c>
    </row>
    <row r="88" spans="2:8" ht="14.5" thickBot="1" x14ac:dyDescent="0.4">
      <c r="B88" s="176"/>
      <c r="C88" s="50" t="s">
        <v>23</v>
      </c>
      <c r="D88" s="163">
        <f t="shared" si="55"/>
        <v>0.40374482258101585</v>
      </c>
      <c r="F88" s="48" t="s">
        <v>21</v>
      </c>
      <c r="G88" s="163">
        <v>0.20326091799464863</v>
      </c>
      <c r="H88" s="167">
        <v>14</v>
      </c>
    </row>
    <row r="89" spans="2:8" ht="14.5" thickBot="1" x14ac:dyDescent="0.4">
      <c r="B89" s="177"/>
      <c r="C89" s="48" t="s">
        <v>21</v>
      </c>
      <c r="D89" s="164">
        <f t="shared" si="55"/>
        <v>0.2984665469310076</v>
      </c>
      <c r="F89" s="50" t="s">
        <v>20</v>
      </c>
      <c r="G89" s="164">
        <v>0.11015419186572428</v>
      </c>
      <c r="H89" s="168">
        <v>15</v>
      </c>
    </row>
  </sheetData>
  <sortState xmlns:xlrd2="http://schemas.microsoft.com/office/spreadsheetml/2017/richdata2" ref="F75:G89">
    <sortCondition descending="1" ref="G75:G89"/>
  </sortState>
  <mergeCells count="10">
    <mergeCell ref="B2:C4"/>
    <mergeCell ref="D2:H2"/>
    <mergeCell ref="B5:C5"/>
    <mergeCell ref="B6:B20"/>
    <mergeCell ref="D57:H57"/>
    <mergeCell ref="J57:N57"/>
    <mergeCell ref="B75:B89"/>
    <mergeCell ref="B23:B37"/>
    <mergeCell ref="B39:B53"/>
    <mergeCell ref="B58:B72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96DE-C7F2-418F-899E-E9D8C5FFC481}">
  <dimension ref="B1:H110"/>
  <sheetViews>
    <sheetView topLeftCell="A94" zoomScale="99" zoomScaleNormal="80" workbookViewId="0">
      <selection activeCell="E100" sqref="E100"/>
    </sheetView>
  </sheetViews>
  <sheetFormatPr baseColWidth="10" defaultRowHeight="14" x14ac:dyDescent="0.35"/>
  <cols>
    <col min="1" max="1" width="10.90625" style="35"/>
    <col min="2" max="2" width="13.1796875" style="35" bestFit="1" customWidth="1"/>
    <col min="3" max="3" width="22.6328125" style="35" bestFit="1" customWidth="1"/>
    <col min="4" max="4" width="19.90625" style="35" bestFit="1" customWidth="1"/>
    <col min="5" max="5" width="17.453125" style="35" customWidth="1"/>
    <col min="6" max="6" width="19.453125" style="35" bestFit="1" customWidth="1"/>
    <col min="7" max="8" width="10.90625" style="35"/>
    <col min="9" max="9" width="11" style="35" bestFit="1" customWidth="1"/>
    <col min="10" max="16384" width="10.90625" style="35"/>
  </cols>
  <sheetData>
    <row r="1" spans="2:4" ht="14.5" thickBot="1" x14ac:dyDescent="0.4"/>
    <row r="2" spans="2:4" ht="14.5" thickBot="1" x14ac:dyDescent="0.4">
      <c r="B2" s="178" t="s">
        <v>40</v>
      </c>
      <c r="C2" s="179"/>
      <c r="D2" s="153" t="s">
        <v>1</v>
      </c>
    </row>
    <row r="3" spans="2:4" ht="14.5" thickBot="1" x14ac:dyDescent="0.4">
      <c r="B3" s="180"/>
      <c r="C3" s="181"/>
      <c r="D3" s="12" t="s">
        <v>2</v>
      </c>
    </row>
    <row r="4" spans="2:4" ht="28.5" thickBot="1" x14ac:dyDescent="0.4">
      <c r="B4" s="180"/>
      <c r="C4" s="181"/>
      <c r="D4" s="14" t="s">
        <v>33</v>
      </c>
    </row>
    <row r="5" spans="2:4" ht="14.5" thickBot="1" x14ac:dyDescent="0.4">
      <c r="B5" s="185" t="s">
        <v>52</v>
      </c>
      <c r="C5" s="186"/>
      <c r="D5" s="34">
        <v>1</v>
      </c>
    </row>
    <row r="6" spans="2:4" ht="14.5" thickBot="1" x14ac:dyDescent="0.4">
      <c r="B6" s="175" t="s">
        <v>0</v>
      </c>
      <c r="C6" s="48" t="s">
        <v>22</v>
      </c>
      <c r="D6" s="199">
        <v>23.507999999999999</v>
      </c>
    </row>
    <row r="7" spans="2:4" ht="14.5" thickBot="1" x14ac:dyDescent="0.4">
      <c r="B7" s="176"/>
      <c r="C7" s="48" t="s">
        <v>29</v>
      </c>
      <c r="D7" s="200">
        <v>46.97</v>
      </c>
    </row>
    <row r="8" spans="2:4" ht="14.5" thickBot="1" x14ac:dyDescent="0.4">
      <c r="B8" s="176"/>
      <c r="C8" s="35" t="s">
        <v>18</v>
      </c>
      <c r="D8" s="201">
        <v>23.507999999999999</v>
      </c>
    </row>
    <row r="9" spans="2:4" ht="14.5" thickBot="1" x14ac:dyDescent="0.4">
      <c r="B9" s="176"/>
      <c r="C9" s="50" t="s">
        <v>24</v>
      </c>
      <c r="D9" s="200">
        <v>46.97</v>
      </c>
    </row>
    <row r="10" spans="2:4" ht="14.5" thickBot="1" x14ac:dyDescent="0.4">
      <c r="B10" s="176"/>
      <c r="C10" s="50" t="s">
        <v>31</v>
      </c>
      <c r="D10" s="200">
        <v>46.97</v>
      </c>
    </row>
    <row r="11" spans="2:4" ht="14.5" thickBot="1" x14ac:dyDescent="0.4">
      <c r="B11" s="176"/>
      <c r="C11" s="48" t="s">
        <v>25</v>
      </c>
      <c r="D11" s="200">
        <v>46.97</v>
      </c>
    </row>
    <row r="12" spans="2:4" ht="14.5" thickBot="1" x14ac:dyDescent="0.4">
      <c r="B12" s="176"/>
      <c r="C12" s="48" t="s">
        <v>27</v>
      </c>
      <c r="D12" s="200">
        <v>46.97</v>
      </c>
    </row>
    <row r="13" spans="2:4" ht="14.5" thickBot="1" x14ac:dyDescent="0.4">
      <c r="B13" s="176"/>
      <c r="C13" s="50" t="s">
        <v>20</v>
      </c>
      <c r="D13" s="201">
        <v>23.507999999999999</v>
      </c>
    </row>
    <row r="14" spans="2:4" ht="14.5" thickBot="1" x14ac:dyDescent="0.4">
      <c r="B14" s="176"/>
      <c r="C14" s="48" t="s">
        <v>19</v>
      </c>
      <c r="D14" s="201">
        <v>23.507999999999999</v>
      </c>
    </row>
    <row r="15" spans="2:4" ht="14.5" thickBot="1" x14ac:dyDescent="0.4">
      <c r="B15" s="176"/>
      <c r="C15" s="50" t="s">
        <v>32</v>
      </c>
      <c r="D15" s="200">
        <v>40.56</v>
      </c>
    </row>
    <row r="16" spans="2:4" ht="14.5" thickBot="1" x14ac:dyDescent="0.4">
      <c r="B16" s="176"/>
      <c r="C16" s="50" t="s">
        <v>26</v>
      </c>
      <c r="D16" s="200">
        <v>46.97</v>
      </c>
    </row>
    <row r="17" spans="2:4" ht="14.5" thickBot="1" x14ac:dyDescent="0.4">
      <c r="B17" s="176"/>
      <c r="C17" s="48" t="s">
        <v>30</v>
      </c>
      <c r="D17" s="200">
        <v>46.97</v>
      </c>
    </row>
    <row r="18" spans="2:4" ht="14.5" thickBot="1" x14ac:dyDescent="0.4">
      <c r="B18" s="176"/>
      <c r="C18" s="50" t="s">
        <v>28</v>
      </c>
      <c r="D18" s="200">
        <v>46.97</v>
      </c>
    </row>
    <row r="19" spans="2:4" ht="14.5" thickBot="1" x14ac:dyDescent="0.4">
      <c r="B19" s="176"/>
      <c r="C19" s="50" t="s">
        <v>23</v>
      </c>
      <c r="D19" s="201">
        <v>23.507999999999999</v>
      </c>
    </row>
    <row r="20" spans="2:4" ht="14.5" thickBot="1" x14ac:dyDescent="0.4">
      <c r="B20" s="177"/>
      <c r="C20" s="48" t="s">
        <v>21</v>
      </c>
      <c r="D20" s="202">
        <v>23.507999999999999</v>
      </c>
    </row>
    <row r="21" spans="2:4" x14ac:dyDescent="0.35">
      <c r="B21" s="196"/>
      <c r="C21" s="197" t="s">
        <v>7</v>
      </c>
      <c r="D21" s="198">
        <f>SUM(D6:D20)</f>
        <v>557.36800000000005</v>
      </c>
    </row>
    <row r="22" spans="2:4" ht="14.5" thickBot="1" x14ac:dyDescent="0.4"/>
    <row r="23" spans="2:4" ht="14.5" customHeight="1" thickBot="1" x14ac:dyDescent="0.4">
      <c r="B23" s="178" t="s">
        <v>40</v>
      </c>
      <c r="C23" s="179"/>
      <c r="D23" s="153" t="s">
        <v>1</v>
      </c>
    </row>
    <row r="24" spans="2:4" ht="14.5" thickBot="1" x14ac:dyDescent="0.4">
      <c r="B24" s="180"/>
      <c r="C24" s="181"/>
      <c r="D24" s="12" t="s">
        <v>2</v>
      </c>
    </row>
    <row r="25" spans="2:4" ht="28.5" thickBot="1" x14ac:dyDescent="0.4">
      <c r="B25" s="180"/>
      <c r="C25" s="181"/>
      <c r="D25" s="14" t="s">
        <v>33</v>
      </c>
    </row>
    <row r="26" spans="2:4" ht="15" customHeight="1" thickBot="1" x14ac:dyDescent="0.4">
      <c r="B26" s="185" t="s">
        <v>52</v>
      </c>
      <c r="C26" s="186"/>
      <c r="D26" s="37">
        <v>1</v>
      </c>
    </row>
    <row r="27" spans="2:4" ht="14.5" thickBot="1" x14ac:dyDescent="0.4">
      <c r="B27" s="175" t="s">
        <v>0</v>
      </c>
      <c r="C27" s="48" t="s">
        <v>22</v>
      </c>
      <c r="D27" s="203">
        <f>D6/$D$21</f>
        <v>4.2176802399850721E-2</v>
      </c>
    </row>
    <row r="28" spans="2:4" ht="14.5" thickBot="1" x14ac:dyDescent="0.4">
      <c r="B28" s="176"/>
      <c r="C28" s="48" t="s">
        <v>29</v>
      </c>
      <c r="D28" s="199">
        <f t="shared" ref="D28:D41" si="0">D7/$D$21</f>
        <v>8.427107404802571E-2</v>
      </c>
    </row>
    <row r="29" spans="2:4" ht="14.5" thickBot="1" x14ac:dyDescent="0.4">
      <c r="B29" s="176"/>
      <c r="C29" s="35" t="s">
        <v>18</v>
      </c>
      <c r="D29" s="201">
        <f t="shared" si="0"/>
        <v>4.2176802399850721E-2</v>
      </c>
    </row>
    <row r="30" spans="2:4" ht="14.5" thickBot="1" x14ac:dyDescent="0.4">
      <c r="B30" s="176"/>
      <c r="C30" s="50" t="s">
        <v>24</v>
      </c>
      <c r="D30" s="201">
        <f t="shared" si="0"/>
        <v>8.427107404802571E-2</v>
      </c>
    </row>
    <row r="31" spans="2:4" ht="14.5" thickBot="1" x14ac:dyDescent="0.4">
      <c r="B31" s="176"/>
      <c r="C31" s="50" t="s">
        <v>31</v>
      </c>
      <c r="D31" s="201">
        <f t="shared" si="0"/>
        <v>8.427107404802571E-2</v>
      </c>
    </row>
    <row r="32" spans="2:4" ht="14.5" thickBot="1" x14ac:dyDescent="0.4">
      <c r="B32" s="176"/>
      <c r="C32" s="48" t="s">
        <v>25</v>
      </c>
      <c r="D32" s="201">
        <f t="shared" si="0"/>
        <v>8.427107404802571E-2</v>
      </c>
    </row>
    <row r="33" spans="2:4" ht="14.5" thickBot="1" x14ac:dyDescent="0.4">
      <c r="B33" s="176"/>
      <c r="C33" s="48" t="s">
        <v>27</v>
      </c>
      <c r="D33" s="201">
        <f t="shared" si="0"/>
        <v>8.427107404802571E-2</v>
      </c>
    </row>
    <row r="34" spans="2:4" ht="14.5" thickBot="1" x14ac:dyDescent="0.4">
      <c r="B34" s="176"/>
      <c r="C34" s="50" t="s">
        <v>20</v>
      </c>
      <c r="D34" s="201">
        <f t="shared" si="0"/>
        <v>4.2176802399850721E-2</v>
      </c>
    </row>
    <row r="35" spans="2:4" ht="14.5" thickBot="1" x14ac:dyDescent="0.4">
      <c r="B35" s="176"/>
      <c r="C35" s="48" t="s">
        <v>19</v>
      </c>
      <c r="D35" s="201">
        <f t="shared" si="0"/>
        <v>4.2176802399850721E-2</v>
      </c>
    </row>
    <row r="36" spans="2:4" ht="14.5" customHeight="1" thickBot="1" x14ac:dyDescent="0.4">
      <c r="B36" s="176"/>
      <c r="C36" s="50" t="s">
        <v>32</v>
      </c>
      <c r="D36" s="201">
        <f t="shared" si="0"/>
        <v>7.2770593216689869E-2</v>
      </c>
    </row>
    <row r="37" spans="2:4" ht="15" customHeight="1" thickBot="1" x14ac:dyDescent="0.4">
      <c r="B37" s="176"/>
      <c r="C37" s="50" t="s">
        <v>26</v>
      </c>
      <c r="D37" s="201">
        <f t="shared" si="0"/>
        <v>8.427107404802571E-2</v>
      </c>
    </row>
    <row r="38" spans="2:4" ht="15" customHeight="1" thickBot="1" x14ac:dyDescent="0.4">
      <c r="B38" s="176"/>
      <c r="C38" s="48" t="s">
        <v>30</v>
      </c>
      <c r="D38" s="201">
        <f t="shared" si="0"/>
        <v>8.427107404802571E-2</v>
      </c>
    </row>
    <row r="39" spans="2:4" ht="14.5" thickBot="1" x14ac:dyDescent="0.4">
      <c r="B39" s="176"/>
      <c r="C39" s="50" t="s">
        <v>28</v>
      </c>
      <c r="D39" s="201">
        <f t="shared" si="0"/>
        <v>8.427107404802571E-2</v>
      </c>
    </row>
    <row r="40" spans="2:4" ht="14.5" thickBot="1" x14ac:dyDescent="0.4">
      <c r="B40" s="176"/>
      <c r="C40" s="50" t="s">
        <v>23</v>
      </c>
      <c r="D40" s="201">
        <f t="shared" si="0"/>
        <v>4.2176802399850721E-2</v>
      </c>
    </row>
    <row r="41" spans="2:4" ht="14.5" thickBot="1" x14ac:dyDescent="0.4">
      <c r="B41" s="177"/>
      <c r="C41" s="48" t="s">
        <v>21</v>
      </c>
      <c r="D41" s="202">
        <f t="shared" si="0"/>
        <v>4.2176802399850721E-2</v>
      </c>
    </row>
    <row r="42" spans="2:4" x14ac:dyDescent="0.35">
      <c r="B42" s="1"/>
      <c r="C42" s="154"/>
      <c r="D42" s="101" cm="1">
        <f t="array" ref="D42">SQRT(SUMPRODUCT(D27:D41^2))</f>
        <v>0.26978096035641191</v>
      </c>
    </row>
    <row r="43" spans="2:4" ht="14.5" thickBot="1" x14ac:dyDescent="0.4"/>
    <row r="44" spans="2:4" ht="14.5" thickBot="1" x14ac:dyDescent="0.4">
      <c r="B44" s="175" t="s">
        <v>0</v>
      </c>
      <c r="C44" s="48" t="s">
        <v>22</v>
      </c>
      <c r="D44" s="199">
        <f>D27/D$42</f>
        <v>0.15633720906075166</v>
      </c>
    </row>
    <row r="45" spans="2:4" ht="14.5" thickBot="1" x14ac:dyDescent="0.4">
      <c r="B45" s="176"/>
      <c r="C45" s="48" t="s">
        <v>29</v>
      </c>
      <c r="D45" s="200">
        <f>D28/D$42</f>
        <v>0.31236850049274734</v>
      </c>
    </row>
    <row r="46" spans="2:4" ht="14.5" thickBot="1" x14ac:dyDescent="0.4">
      <c r="B46" s="176"/>
      <c r="C46" s="144" t="s">
        <v>18</v>
      </c>
      <c r="D46" s="200">
        <f>D29/D$42</f>
        <v>0.15633720906075166</v>
      </c>
    </row>
    <row r="47" spans="2:4" ht="14.5" thickBot="1" x14ac:dyDescent="0.4">
      <c r="B47" s="176"/>
      <c r="C47" s="50" t="s">
        <v>24</v>
      </c>
      <c r="D47" s="200">
        <f>D30/D$42</f>
        <v>0.31236850049274734</v>
      </c>
    </row>
    <row r="48" spans="2:4" ht="14.5" thickBot="1" x14ac:dyDescent="0.4">
      <c r="B48" s="176"/>
      <c r="C48" s="50" t="s">
        <v>31</v>
      </c>
      <c r="D48" s="200">
        <f>D31/D$42</f>
        <v>0.31236850049274734</v>
      </c>
    </row>
    <row r="49" spans="2:5" ht="14.5" thickBot="1" x14ac:dyDescent="0.4">
      <c r="B49" s="176"/>
      <c r="C49" s="48" t="s">
        <v>25</v>
      </c>
      <c r="D49" s="200">
        <f>D32/D$42</f>
        <v>0.31236850049274734</v>
      </c>
    </row>
    <row r="50" spans="2:5" ht="14.5" thickBot="1" x14ac:dyDescent="0.4">
      <c r="B50" s="176"/>
      <c r="C50" s="48" t="s">
        <v>27</v>
      </c>
      <c r="D50" s="200">
        <f>D33/D$42</f>
        <v>0.31236850049274734</v>
      </c>
    </row>
    <row r="51" spans="2:5" ht="14.5" thickBot="1" x14ac:dyDescent="0.4">
      <c r="B51" s="176"/>
      <c r="C51" s="50" t="s">
        <v>20</v>
      </c>
      <c r="D51" s="200">
        <f>D34/D$42</f>
        <v>0.15633720906075166</v>
      </c>
    </row>
    <row r="52" spans="2:5" ht="14.5" thickBot="1" x14ac:dyDescent="0.4">
      <c r="B52" s="176"/>
      <c r="C52" s="48" t="s">
        <v>19</v>
      </c>
      <c r="D52" s="200">
        <f>D35/D$42</f>
        <v>0.15633720906075166</v>
      </c>
    </row>
    <row r="53" spans="2:5" ht="14.5" thickBot="1" x14ac:dyDescent="0.4">
      <c r="B53" s="176"/>
      <c r="C53" s="50" t="s">
        <v>32</v>
      </c>
      <c r="D53" s="200">
        <f>D36/D$42</f>
        <v>0.26973954396393091</v>
      </c>
    </row>
    <row r="54" spans="2:5" ht="14.5" thickBot="1" x14ac:dyDescent="0.4">
      <c r="B54" s="176"/>
      <c r="C54" s="50" t="s">
        <v>26</v>
      </c>
      <c r="D54" s="200">
        <f>D37/D$42</f>
        <v>0.31236850049274734</v>
      </c>
    </row>
    <row r="55" spans="2:5" ht="14.5" thickBot="1" x14ac:dyDescent="0.4">
      <c r="B55" s="176"/>
      <c r="C55" s="48" t="s">
        <v>30</v>
      </c>
      <c r="D55" s="200">
        <f>D38/D$42</f>
        <v>0.31236850049274734</v>
      </c>
    </row>
    <row r="56" spans="2:5" ht="14.5" thickBot="1" x14ac:dyDescent="0.4">
      <c r="B56" s="176"/>
      <c r="C56" s="50" t="s">
        <v>28</v>
      </c>
      <c r="D56" s="200">
        <f>D39/D$42</f>
        <v>0.31236850049274734</v>
      </c>
    </row>
    <row r="57" spans="2:5" ht="14.5" thickBot="1" x14ac:dyDescent="0.4">
      <c r="B57" s="176"/>
      <c r="C57" s="50" t="s">
        <v>23</v>
      </c>
      <c r="D57" s="200">
        <f>D40/D$42</f>
        <v>0.15633720906075166</v>
      </c>
    </row>
    <row r="58" spans="2:5" ht="14.5" thickBot="1" x14ac:dyDescent="0.4">
      <c r="B58" s="177"/>
      <c r="C58" s="48" t="s">
        <v>21</v>
      </c>
      <c r="D58" s="204">
        <f>D41/D$42</f>
        <v>0.15633720906075166</v>
      </c>
      <c r="E58" s="134"/>
    </row>
    <row r="59" spans="2:5" ht="14.5" thickBot="1" x14ac:dyDescent="0.4"/>
    <row r="60" spans="2:5" ht="14.5" thickBot="1" x14ac:dyDescent="0.4">
      <c r="B60" s="175" t="s">
        <v>0</v>
      </c>
      <c r="C60" s="48" t="s">
        <v>22</v>
      </c>
      <c r="D60" s="199">
        <f>D44*D$26</f>
        <v>0.15633720906075166</v>
      </c>
    </row>
    <row r="61" spans="2:5" ht="14.5" thickBot="1" x14ac:dyDescent="0.4">
      <c r="B61" s="176"/>
      <c r="C61" s="48" t="s">
        <v>29</v>
      </c>
      <c r="D61" s="200">
        <f>D45*D$26</f>
        <v>0.31236850049274734</v>
      </c>
    </row>
    <row r="62" spans="2:5" ht="14.5" thickBot="1" x14ac:dyDescent="0.4">
      <c r="B62" s="176"/>
      <c r="C62" s="144" t="s">
        <v>18</v>
      </c>
      <c r="D62" s="200">
        <f>D46*D$26</f>
        <v>0.15633720906075166</v>
      </c>
    </row>
    <row r="63" spans="2:5" ht="14.5" thickBot="1" x14ac:dyDescent="0.4">
      <c r="B63" s="176"/>
      <c r="C63" s="50" t="s">
        <v>24</v>
      </c>
      <c r="D63" s="200">
        <f>D47*D$26</f>
        <v>0.31236850049274734</v>
      </c>
    </row>
    <row r="64" spans="2:5" ht="14.5" thickBot="1" x14ac:dyDescent="0.4">
      <c r="B64" s="176"/>
      <c r="C64" s="50" t="s">
        <v>31</v>
      </c>
      <c r="D64" s="200">
        <f>D48*D$26</f>
        <v>0.31236850049274734</v>
      </c>
    </row>
    <row r="65" spans="2:5" ht="14.5" thickBot="1" x14ac:dyDescent="0.4">
      <c r="B65" s="176"/>
      <c r="C65" s="48" t="s">
        <v>25</v>
      </c>
      <c r="D65" s="200">
        <f>D49*D$26</f>
        <v>0.31236850049274734</v>
      </c>
    </row>
    <row r="66" spans="2:5" ht="14.5" thickBot="1" x14ac:dyDescent="0.4">
      <c r="B66" s="176"/>
      <c r="C66" s="48" t="s">
        <v>27</v>
      </c>
      <c r="D66" s="200">
        <f>D50*D$26</f>
        <v>0.31236850049274734</v>
      </c>
    </row>
    <row r="67" spans="2:5" ht="14.5" thickBot="1" x14ac:dyDescent="0.4">
      <c r="B67" s="176"/>
      <c r="C67" s="50" t="s">
        <v>20</v>
      </c>
      <c r="D67" s="200">
        <f>D51*D$26</f>
        <v>0.15633720906075166</v>
      </c>
    </row>
    <row r="68" spans="2:5" ht="14.5" thickBot="1" x14ac:dyDescent="0.4">
      <c r="B68" s="176"/>
      <c r="C68" s="48" t="s">
        <v>19</v>
      </c>
      <c r="D68" s="200">
        <f>D52*D$26</f>
        <v>0.15633720906075166</v>
      </c>
    </row>
    <row r="69" spans="2:5" ht="14.5" thickBot="1" x14ac:dyDescent="0.4">
      <c r="B69" s="176"/>
      <c r="C69" s="50" t="s">
        <v>32</v>
      </c>
      <c r="D69" s="200">
        <f>D53*D$26</f>
        <v>0.26973954396393091</v>
      </c>
    </row>
    <row r="70" spans="2:5" ht="14.5" thickBot="1" x14ac:dyDescent="0.4">
      <c r="B70" s="176"/>
      <c r="C70" s="50" t="s">
        <v>26</v>
      </c>
      <c r="D70" s="200">
        <f>D54*D$26</f>
        <v>0.31236850049274734</v>
      </c>
    </row>
    <row r="71" spans="2:5" ht="14.5" thickBot="1" x14ac:dyDescent="0.4">
      <c r="B71" s="176"/>
      <c r="C71" s="48" t="s">
        <v>30</v>
      </c>
      <c r="D71" s="200">
        <f>D55*D$26</f>
        <v>0.31236850049274734</v>
      </c>
    </row>
    <row r="72" spans="2:5" ht="14.5" thickBot="1" x14ac:dyDescent="0.4">
      <c r="B72" s="176"/>
      <c r="C72" s="50" t="s">
        <v>28</v>
      </c>
      <c r="D72" s="200">
        <f>D56*D$26</f>
        <v>0.31236850049274734</v>
      </c>
    </row>
    <row r="73" spans="2:5" ht="14.5" thickBot="1" x14ac:dyDescent="0.4">
      <c r="B73" s="176"/>
      <c r="C73" s="50" t="s">
        <v>23</v>
      </c>
      <c r="D73" s="200">
        <f>D57*D$26</f>
        <v>0.15633720906075166</v>
      </c>
    </row>
    <row r="74" spans="2:5" ht="14.5" thickBot="1" x14ac:dyDescent="0.4">
      <c r="B74" s="177"/>
      <c r="C74" s="48" t="s">
        <v>21</v>
      </c>
      <c r="D74" s="205">
        <f>D58*D$26</f>
        <v>0.15633720906075166</v>
      </c>
    </row>
    <row r="75" spans="2:5" ht="14.5" thickBot="1" x14ac:dyDescent="0.4">
      <c r="C75" s="49" t="s">
        <v>54</v>
      </c>
      <c r="D75" s="162">
        <f>MAX(D60:D74)</f>
        <v>0.31236850049274734</v>
      </c>
    </row>
    <row r="76" spans="2:5" ht="14.5" thickBot="1" x14ac:dyDescent="0.4">
      <c r="C76" s="156" t="s">
        <v>55</v>
      </c>
      <c r="D76" s="164">
        <f>MIN(D60:D74)</f>
        <v>0.15633720906075166</v>
      </c>
    </row>
    <row r="77" spans="2:5" ht="14.5" thickBot="1" x14ac:dyDescent="0.4">
      <c r="D77" s="134"/>
    </row>
    <row r="78" spans="2:5" ht="15" customHeight="1" thickBot="1" x14ac:dyDescent="0.4">
      <c r="D78" s="49" t="s">
        <v>57</v>
      </c>
      <c r="E78" s="143" t="s">
        <v>58</v>
      </c>
    </row>
    <row r="79" spans="2:5" ht="14.5" thickBot="1" x14ac:dyDescent="0.4">
      <c r="B79" s="175" t="s">
        <v>0</v>
      </c>
      <c r="C79" s="48" t="s">
        <v>22</v>
      </c>
      <c r="D79" s="36">
        <f>(D60-D$75)^2</f>
        <v>2.4345763905936367E-2</v>
      </c>
      <c r="E79" s="199">
        <f>(D60-D$76)^2</f>
        <v>0</v>
      </c>
    </row>
    <row r="80" spans="2:5" ht="14.5" thickBot="1" x14ac:dyDescent="0.4">
      <c r="B80" s="176"/>
      <c r="C80" s="48" t="s">
        <v>29</v>
      </c>
      <c r="D80" s="56">
        <f>(D61-D$75)^2</f>
        <v>0</v>
      </c>
      <c r="E80" s="200">
        <f>(D61-D$76)^2</f>
        <v>2.4345763905936367E-2</v>
      </c>
    </row>
    <row r="81" spans="2:8" ht="14.5" thickBot="1" x14ac:dyDescent="0.4">
      <c r="B81" s="176"/>
      <c r="C81" s="144" t="s">
        <v>18</v>
      </c>
      <c r="D81" s="56">
        <f>(D62-D$75)^2</f>
        <v>2.4345763905936367E-2</v>
      </c>
      <c r="E81" s="200">
        <f>(D62-D$76)^2</f>
        <v>0</v>
      </c>
    </row>
    <row r="82" spans="2:8" ht="14.5" thickBot="1" x14ac:dyDescent="0.4">
      <c r="B82" s="176"/>
      <c r="C82" s="50" t="s">
        <v>24</v>
      </c>
      <c r="D82" s="56">
        <f>(D63-D$75)^2</f>
        <v>0</v>
      </c>
      <c r="E82" s="200">
        <f>(D63-D$76)^2</f>
        <v>2.4345763905936367E-2</v>
      </c>
    </row>
    <row r="83" spans="2:8" ht="14.5" thickBot="1" x14ac:dyDescent="0.4">
      <c r="B83" s="176"/>
      <c r="C83" s="50" t="s">
        <v>31</v>
      </c>
      <c r="D83" s="56">
        <f>(D64-D$75)^2</f>
        <v>0</v>
      </c>
      <c r="E83" s="200">
        <f>(D64-D$76)^2</f>
        <v>2.4345763905936367E-2</v>
      </c>
    </row>
    <row r="84" spans="2:8" ht="14.5" thickBot="1" x14ac:dyDescent="0.4">
      <c r="B84" s="176"/>
      <c r="C84" s="48" t="s">
        <v>25</v>
      </c>
      <c r="D84" s="56">
        <f>(D65-D$75)^2</f>
        <v>0</v>
      </c>
      <c r="E84" s="200">
        <f>(D65-D$76)^2</f>
        <v>2.4345763905936367E-2</v>
      </c>
    </row>
    <row r="85" spans="2:8" ht="14.5" thickBot="1" x14ac:dyDescent="0.4">
      <c r="B85" s="176"/>
      <c r="C85" s="48" t="s">
        <v>27</v>
      </c>
      <c r="D85" s="56">
        <f>(D66-D$75)^2</f>
        <v>0</v>
      </c>
      <c r="E85" s="200">
        <f>(D66-D$76)^2</f>
        <v>2.4345763905936367E-2</v>
      </c>
    </row>
    <row r="86" spans="2:8" ht="14.5" thickBot="1" x14ac:dyDescent="0.4">
      <c r="B86" s="176"/>
      <c r="C86" s="50" t="s">
        <v>20</v>
      </c>
      <c r="D86" s="56">
        <f>(D67-D$75)^2</f>
        <v>2.4345763905936367E-2</v>
      </c>
      <c r="E86" s="200">
        <f>(D67-D$76)^2</f>
        <v>0</v>
      </c>
    </row>
    <row r="87" spans="2:8" ht="14.5" thickBot="1" x14ac:dyDescent="0.4">
      <c r="B87" s="176"/>
      <c r="C87" s="48" t="s">
        <v>19</v>
      </c>
      <c r="D87" s="56">
        <f>(D68-D$75)^2</f>
        <v>2.4345763905936367E-2</v>
      </c>
      <c r="E87" s="200">
        <f>(D68-D$76)^2</f>
        <v>0</v>
      </c>
    </row>
    <row r="88" spans="2:8" ht="14.5" thickBot="1" x14ac:dyDescent="0.4">
      <c r="B88" s="176"/>
      <c r="C88" s="50" t="s">
        <v>32</v>
      </c>
      <c r="D88" s="56">
        <f>(D69-D$75)^2</f>
        <v>1.8172279347357209E-3</v>
      </c>
      <c r="E88" s="200">
        <f>(D69-D$76)^2</f>
        <v>1.2860089561492826E-2</v>
      </c>
    </row>
    <row r="89" spans="2:8" ht="14.5" thickBot="1" x14ac:dyDescent="0.4">
      <c r="B89" s="176"/>
      <c r="C89" s="50" t="s">
        <v>26</v>
      </c>
      <c r="D89" s="56">
        <f>(D70-D$75)^2</f>
        <v>0</v>
      </c>
      <c r="E89" s="200">
        <f>(D70-D$76)^2</f>
        <v>2.4345763905936367E-2</v>
      </c>
    </row>
    <row r="90" spans="2:8" ht="14.5" thickBot="1" x14ac:dyDescent="0.4">
      <c r="B90" s="176"/>
      <c r="C90" s="48" t="s">
        <v>30</v>
      </c>
      <c r="D90" s="56">
        <f>(D71-D$75)^2</f>
        <v>0</v>
      </c>
      <c r="E90" s="200">
        <f>(D71-D$76)^2</f>
        <v>2.4345763905936367E-2</v>
      </c>
    </row>
    <row r="91" spans="2:8" ht="14.5" thickBot="1" x14ac:dyDescent="0.4">
      <c r="B91" s="176"/>
      <c r="C91" s="50" t="s">
        <v>28</v>
      </c>
      <c r="D91" s="56">
        <f>(D72-D$75)^2</f>
        <v>0</v>
      </c>
      <c r="E91" s="200">
        <f>(D72-D$76)^2</f>
        <v>2.4345763905936367E-2</v>
      </c>
    </row>
    <row r="92" spans="2:8" ht="14.5" thickBot="1" x14ac:dyDescent="0.4">
      <c r="B92" s="176"/>
      <c r="C92" s="50" t="s">
        <v>23</v>
      </c>
      <c r="D92" s="56">
        <f>(D73-D$75)^2</f>
        <v>2.4345763905936367E-2</v>
      </c>
      <c r="E92" s="200">
        <f>(D73-D$76)^2</f>
        <v>0</v>
      </c>
    </row>
    <row r="93" spans="2:8" ht="14.5" thickBot="1" x14ac:dyDescent="0.4">
      <c r="B93" s="177"/>
      <c r="C93" s="48" t="s">
        <v>21</v>
      </c>
      <c r="D93" s="57">
        <f>(D74-D$75)^2</f>
        <v>2.4345763905936367E-2</v>
      </c>
      <c r="E93" s="204">
        <f>(D74-D$76)^2</f>
        <v>0</v>
      </c>
    </row>
    <row r="94" spans="2:8" ht="14.5" thickBot="1" x14ac:dyDescent="0.4"/>
    <row r="95" spans="2:8" ht="14.5" thickBot="1" x14ac:dyDescent="0.4">
      <c r="D95" s="155" t="s">
        <v>59</v>
      </c>
      <c r="G95" s="155" t="s">
        <v>60</v>
      </c>
      <c r="H95" s="155" t="s">
        <v>53</v>
      </c>
    </row>
    <row r="96" spans="2:8" ht="14.5" thickBot="1" x14ac:dyDescent="0.4">
      <c r="B96" s="175" t="s">
        <v>0</v>
      </c>
      <c r="C96" s="48" t="s">
        <v>22</v>
      </c>
      <c r="D96" s="162">
        <f>E79/(D79+E79)</f>
        <v>0</v>
      </c>
      <c r="F96" s="48" t="s">
        <v>29</v>
      </c>
      <c r="G96" s="162">
        <v>1</v>
      </c>
      <c r="H96" s="166">
        <v>1</v>
      </c>
    </row>
    <row r="97" spans="2:8" ht="14.5" thickBot="1" x14ac:dyDescent="0.4">
      <c r="B97" s="176"/>
      <c r="C97" s="48" t="s">
        <v>29</v>
      </c>
      <c r="D97" s="162">
        <f t="shared" ref="D97:D110" si="1">E80/(D80+E80)</f>
        <v>1</v>
      </c>
      <c r="F97" s="50" t="s">
        <v>24</v>
      </c>
      <c r="G97" s="162">
        <v>1</v>
      </c>
      <c r="H97" s="166">
        <v>2</v>
      </c>
    </row>
    <row r="98" spans="2:8" ht="14.5" thickBot="1" x14ac:dyDescent="0.4">
      <c r="B98" s="176"/>
      <c r="C98" s="144" t="s">
        <v>18</v>
      </c>
      <c r="D98" s="162">
        <f t="shared" si="1"/>
        <v>0</v>
      </c>
      <c r="F98" s="152" t="s">
        <v>31</v>
      </c>
      <c r="G98" s="162">
        <v>1</v>
      </c>
      <c r="H98" s="166">
        <v>3</v>
      </c>
    </row>
    <row r="99" spans="2:8" ht="14.5" thickBot="1" x14ac:dyDescent="0.4">
      <c r="B99" s="176"/>
      <c r="C99" s="50" t="s">
        <v>24</v>
      </c>
      <c r="D99" s="162">
        <f t="shared" si="1"/>
        <v>1</v>
      </c>
      <c r="F99" s="48" t="s">
        <v>25</v>
      </c>
      <c r="G99" s="162">
        <v>1</v>
      </c>
      <c r="H99" s="166">
        <v>4</v>
      </c>
    </row>
    <row r="100" spans="2:8" ht="14.5" thickBot="1" x14ac:dyDescent="0.4">
      <c r="B100" s="176"/>
      <c r="C100" s="50" t="s">
        <v>31</v>
      </c>
      <c r="D100" s="162">
        <f t="shared" si="1"/>
        <v>1</v>
      </c>
      <c r="F100" s="48" t="s">
        <v>27</v>
      </c>
      <c r="G100" s="162">
        <v>1</v>
      </c>
      <c r="H100" s="166">
        <v>5</v>
      </c>
    </row>
    <row r="101" spans="2:8" ht="14.5" thickBot="1" x14ac:dyDescent="0.4">
      <c r="B101" s="176"/>
      <c r="C101" s="48" t="s">
        <v>25</v>
      </c>
      <c r="D101" s="162">
        <f t="shared" si="1"/>
        <v>1</v>
      </c>
      <c r="F101" s="50" t="s">
        <v>26</v>
      </c>
      <c r="G101" s="162">
        <v>1</v>
      </c>
      <c r="H101" s="166">
        <v>6</v>
      </c>
    </row>
    <row r="102" spans="2:8" ht="14.5" thickBot="1" x14ac:dyDescent="0.4">
      <c r="B102" s="176"/>
      <c r="C102" s="48" t="s">
        <v>27</v>
      </c>
      <c r="D102" s="162">
        <f t="shared" si="1"/>
        <v>1</v>
      </c>
      <c r="F102" s="48" t="s">
        <v>30</v>
      </c>
      <c r="G102" s="162">
        <v>1</v>
      </c>
      <c r="H102" s="166">
        <v>7</v>
      </c>
    </row>
    <row r="103" spans="2:8" ht="14.5" thickBot="1" x14ac:dyDescent="0.4">
      <c r="B103" s="176"/>
      <c r="C103" s="50" t="s">
        <v>20</v>
      </c>
      <c r="D103" s="162">
        <f t="shared" si="1"/>
        <v>0</v>
      </c>
      <c r="F103" s="50" t="s">
        <v>28</v>
      </c>
      <c r="G103" s="162">
        <v>1</v>
      </c>
      <c r="H103" s="166">
        <v>8</v>
      </c>
    </row>
    <row r="104" spans="2:8" ht="14.5" thickBot="1" x14ac:dyDescent="0.4">
      <c r="B104" s="176"/>
      <c r="C104" s="48" t="s">
        <v>19</v>
      </c>
      <c r="D104" s="162">
        <f t="shared" si="1"/>
        <v>0</v>
      </c>
      <c r="F104" s="50" t="s">
        <v>32</v>
      </c>
      <c r="G104" s="162">
        <v>0.87618800675241426</v>
      </c>
      <c r="H104" s="166">
        <v>9</v>
      </c>
    </row>
    <row r="105" spans="2:8" ht="14.5" thickBot="1" x14ac:dyDescent="0.4">
      <c r="B105" s="176"/>
      <c r="C105" s="50" t="s">
        <v>32</v>
      </c>
      <c r="D105" s="162">
        <f t="shared" si="1"/>
        <v>0.87618800675241426</v>
      </c>
      <c r="F105" s="48" t="s">
        <v>22</v>
      </c>
      <c r="G105" s="162">
        <v>0</v>
      </c>
      <c r="H105" s="166">
        <v>10</v>
      </c>
    </row>
    <row r="106" spans="2:8" ht="14.5" thickBot="1" x14ac:dyDescent="0.4">
      <c r="B106" s="176"/>
      <c r="C106" s="50" t="s">
        <v>26</v>
      </c>
      <c r="D106" s="162">
        <f t="shared" si="1"/>
        <v>1</v>
      </c>
      <c r="F106" s="49" t="s">
        <v>18</v>
      </c>
      <c r="G106" s="162">
        <v>0</v>
      </c>
      <c r="H106" s="166">
        <v>11</v>
      </c>
    </row>
    <row r="107" spans="2:8" ht="14.5" thickBot="1" x14ac:dyDescent="0.4">
      <c r="B107" s="176"/>
      <c r="C107" s="48" t="s">
        <v>30</v>
      </c>
      <c r="D107" s="162">
        <f t="shared" si="1"/>
        <v>1</v>
      </c>
      <c r="F107" s="50" t="s">
        <v>20</v>
      </c>
      <c r="G107" s="162">
        <v>0</v>
      </c>
      <c r="H107" s="166">
        <v>12</v>
      </c>
    </row>
    <row r="108" spans="2:8" ht="14.5" thickBot="1" x14ac:dyDescent="0.4">
      <c r="B108" s="176"/>
      <c r="C108" s="50" t="s">
        <v>28</v>
      </c>
      <c r="D108" s="162">
        <f t="shared" si="1"/>
        <v>1</v>
      </c>
      <c r="F108" s="48" t="s">
        <v>19</v>
      </c>
      <c r="G108" s="162">
        <v>0</v>
      </c>
      <c r="H108" s="166">
        <v>13</v>
      </c>
    </row>
    <row r="109" spans="2:8" ht="14.5" thickBot="1" x14ac:dyDescent="0.4">
      <c r="B109" s="176"/>
      <c r="C109" s="50" t="s">
        <v>23</v>
      </c>
      <c r="D109" s="162">
        <f t="shared" si="1"/>
        <v>0</v>
      </c>
      <c r="F109" s="50" t="s">
        <v>23</v>
      </c>
      <c r="G109" s="162">
        <v>0</v>
      </c>
      <c r="H109" s="166">
        <v>14</v>
      </c>
    </row>
    <row r="110" spans="2:8" ht="14.5" thickBot="1" x14ac:dyDescent="0.4">
      <c r="B110" s="177"/>
      <c r="C110" s="48" t="s">
        <v>21</v>
      </c>
      <c r="D110" s="206">
        <f t="shared" si="1"/>
        <v>0</v>
      </c>
      <c r="F110" s="48" t="s">
        <v>21</v>
      </c>
      <c r="G110" s="206">
        <v>0</v>
      </c>
      <c r="H110" s="207">
        <v>15</v>
      </c>
    </row>
  </sheetData>
  <sortState xmlns:xlrd2="http://schemas.microsoft.com/office/spreadsheetml/2017/richdata2" ref="F96:G110">
    <sortCondition descending="1" ref="G96:G110"/>
  </sortState>
  <mergeCells count="10">
    <mergeCell ref="B79:B93"/>
    <mergeCell ref="B96:B110"/>
    <mergeCell ref="B2:C4"/>
    <mergeCell ref="B5:C5"/>
    <mergeCell ref="B6:B20"/>
    <mergeCell ref="B23:C25"/>
    <mergeCell ref="B26:C26"/>
    <mergeCell ref="B27:B41"/>
    <mergeCell ref="B44:B58"/>
    <mergeCell ref="B60:B74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9760-9695-4496-BCB2-C80ADB67480A}">
  <dimension ref="B1:H110"/>
  <sheetViews>
    <sheetView topLeftCell="A94" zoomScale="111" zoomScaleNormal="80" workbookViewId="0">
      <selection activeCell="D97" sqref="D97"/>
    </sheetView>
  </sheetViews>
  <sheetFormatPr baseColWidth="10" defaultRowHeight="14" x14ac:dyDescent="0.35"/>
  <cols>
    <col min="1" max="1" width="10.90625" style="35"/>
    <col min="2" max="2" width="13.1796875" style="35" bestFit="1" customWidth="1"/>
    <col min="3" max="3" width="22.6328125" style="35" bestFit="1" customWidth="1"/>
    <col min="4" max="4" width="19.90625" style="35" bestFit="1" customWidth="1"/>
    <col min="5" max="5" width="17.453125" style="35" customWidth="1"/>
    <col min="6" max="6" width="19.453125" style="35" bestFit="1" customWidth="1"/>
    <col min="7" max="8" width="10.90625" style="35"/>
    <col min="9" max="9" width="11" style="35" bestFit="1" customWidth="1"/>
    <col min="10" max="16384" width="10.90625" style="35"/>
  </cols>
  <sheetData>
    <row r="1" spans="2:4" ht="14.5" thickBot="1" x14ac:dyDescent="0.4"/>
    <row r="2" spans="2:4" ht="14.5" thickBot="1" x14ac:dyDescent="0.4">
      <c r="B2" s="178" t="s">
        <v>40</v>
      </c>
      <c r="C2" s="179"/>
      <c r="D2" s="153" t="s">
        <v>1</v>
      </c>
    </row>
    <row r="3" spans="2:4" ht="14.5" thickBot="1" x14ac:dyDescent="0.4">
      <c r="B3" s="180"/>
      <c r="C3" s="181"/>
      <c r="D3" s="12" t="s">
        <v>6</v>
      </c>
    </row>
    <row r="4" spans="2:4" ht="42.5" thickBot="1" x14ac:dyDescent="0.4">
      <c r="B4" s="180"/>
      <c r="C4" s="181"/>
      <c r="D4" s="14" t="s">
        <v>34</v>
      </c>
    </row>
    <row r="5" spans="2:4" ht="14.5" thickBot="1" x14ac:dyDescent="0.4">
      <c r="B5" s="185" t="s">
        <v>52</v>
      </c>
      <c r="C5" s="186"/>
      <c r="D5" s="34">
        <v>1</v>
      </c>
    </row>
    <row r="6" spans="2:4" ht="14.5" thickBot="1" x14ac:dyDescent="0.4">
      <c r="B6" s="175" t="s">
        <v>0</v>
      </c>
      <c r="C6" s="48" t="s">
        <v>22</v>
      </c>
      <c r="D6" s="212">
        <v>170166760</v>
      </c>
    </row>
    <row r="7" spans="2:4" ht="14.5" thickBot="1" x14ac:dyDescent="0.4">
      <c r="B7" s="176"/>
      <c r="C7" s="48" t="s">
        <v>29</v>
      </c>
      <c r="D7" s="213">
        <v>168766760</v>
      </c>
    </row>
    <row r="8" spans="2:4" ht="14.5" thickBot="1" x14ac:dyDescent="0.4">
      <c r="B8" s="176"/>
      <c r="C8" s="35" t="s">
        <v>18</v>
      </c>
      <c r="D8" s="214">
        <v>101617920</v>
      </c>
    </row>
    <row r="9" spans="2:4" ht="14.5" thickBot="1" x14ac:dyDescent="0.4">
      <c r="B9" s="176"/>
      <c r="C9" s="50" t="s">
        <v>24</v>
      </c>
      <c r="D9" s="213">
        <v>168966760</v>
      </c>
    </row>
    <row r="10" spans="2:4" ht="14.5" thickBot="1" x14ac:dyDescent="0.4">
      <c r="B10" s="176"/>
      <c r="C10" s="50" t="s">
        <v>31</v>
      </c>
      <c r="D10" s="213">
        <v>101017920</v>
      </c>
    </row>
    <row r="11" spans="2:4" ht="14.5" thickBot="1" x14ac:dyDescent="0.4">
      <c r="B11" s="176"/>
      <c r="C11" s="48" t="s">
        <v>25</v>
      </c>
      <c r="D11" s="213">
        <v>101467920</v>
      </c>
    </row>
    <row r="12" spans="2:4" ht="14.5" thickBot="1" x14ac:dyDescent="0.4">
      <c r="B12" s="176"/>
      <c r="C12" s="48" t="s">
        <v>27</v>
      </c>
      <c r="D12" s="213">
        <v>459923406</v>
      </c>
    </row>
    <row r="13" spans="2:4" ht="14.5" thickBot="1" x14ac:dyDescent="0.4">
      <c r="B13" s="176"/>
      <c r="C13" s="50" t="s">
        <v>20</v>
      </c>
      <c r="D13" s="214">
        <v>460123406</v>
      </c>
    </row>
    <row r="14" spans="2:4" ht="14.5" thickBot="1" x14ac:dyDescent="0.4">
      <c r="B14" s="176"/>
      <c r="C14" s="48" t="s">
        <v>19</v>
      </c>
      <c r="D14" s="214">
        <v>169816760</v>
      </c>
    </row>
    <row r="15" spans="2:4" ht="14.5" thickBot="1" x14ac:dyDescent="0.4">
      <c r="B15" s="176"/>
      <c r="C15" s="50" t="s">
        <v>32</v>
      </c>
      <c r="D15" s="213">
        <v>168291760</v>
      </c>
    </row>
    <row r="16" spans="2:4" ht="14.5" thickBot="1" x14ac:dyDescent="0.4">
      <c r="B16" s="176"/>
      <c r="C16" s="50" t="s">
        <v>26</v>
      </c>
      <c r="D16" s="213">
        <v>665519926</v>
      </c>
    </row>
    <row r="17" spans="2:4" ht="14.5" thickBot="1" x14ac:dyDescent="0.4">
      <c r="B17" s="176"/>
      <c r="C17" s="48" t="s">
        <v>30</v>
      </c>
      <c r="D17" s="213">
        <v>101392920</v>
      </c>
    </row>
    <row r="18" spans="2:4" ht="14.5" thickBot="1" x14ac:dyDescent="0.4">
      <c r="B18" s="176"/>
      <c r="C18" s="50" t="s">
        <v>28</v>
      </c>
      <c r="D18" s="213">
        <v>660344926</v>
      </c>
    </row>
    <row r="19" spans="2:4" ht="14.5" thickBot="1" x14ac:dyDescent="0.4">
      <c r="B19" s="176"/>
      <c r="C19" s="50" t="s">
        <v>23</v>
      </c>
      <c r="D19" s="214">
        <v>460473406</v>
      </c>
    </row>
    <row r="20" spans="2:4" ht="14.5" thickBot="1" x14ac:dyDescent="0.4">
      <c r="B20" s="177"/>
      <c r="C20" s="48" t="s">
        <v>21</v>
      </c>
      <c r="D20" s="215">
        <v>459973406</v>
      </c>
    </row>
    <row r="21" spans="2:4" x14ac:dyDescent="0.35">
      <c r="B21" s="196"/>
      <c r="C21" s="197" t="s">
        <v>7</v>
      </c>
      <c r="D21" s="216">
        <f>SUM(D6:D20)</f>
        <v>4417863956</v>
      </c>
    </row>
    <row r="22" spans="2:4" ht="14.5" thickBot="1" x14ac:dyDescent="0.4"/>
    <row r="23" spans="2:4" ht="14.5" customHeight="1" thickBot="1" x14ac:dyDescent="0.4">
      <c r="B23" s="178" t="s">
        <v>40</v>
      </c>
      <c r="C23" s="179"/>
      <c r="D23" s="153" t="s">
        <v>1</v>
      </c>
    </row>
    <row r="24" spans="2:4" ht="14.5" thickBot="1" x14ac:dyDescent="0.4">
      <c r="B24" s="180"/>
      <c r="C24" s="181"/>
      <c r="D24" s="12" t="s">
        <v>2</v>
      </c>
    </row>
    <row r="25" spans="2:4" ht="28.5" thickBot="1" x14ac:dyDescent="0.4">
      <c r="B25" s="180"/>
      <c r="C25" s="181"/>
      <c r="D25" s="14" t="s">
        <v>33</v>
      </c>
    </row>
    <row r="26" spans="2:4" ht="15" customHeight="1" thickBot="1" x14ac:dyDescent="0.4">
      <c r="B26" s="185" t="s">
        <v>52</v>
      </c>
      <c r="C26" s="186"/>
      <c r="D26" s="75">
        <v>1</v>
      </c>
    </row>
    <row r="27" spans="2:4" ht="14.5" thickBot="1" x14ac:dyDescent="0.4">
      <c r="B27" s="175" t="s">
        <v>0</v>
      </c>
      <c r="C27" s="48" t="s">
        <v>22</v>
      </c>
      <c r="D27" s="199">
        <f>D6/$D$21</f>
        <v>3.8517881422965215E-2</v>
      </c>
    </row>
    <row r="28" spans="2:4" ht="14.5" thickBot="1" x14ac:dyDescent="0.4">
      <c r="B28" s="176"/>
      <c r="C28" s="48" t="s">
        <v>29</v>
      </c>
      <c r="D28" s="201">
        <f t="shared" ref="D28:D41" si="0">D7/$D$21</f>
        <v>3.8200986196234965E-2</v>
      </c>
    </row>
    <row r="29" spans="2:4" ht="14.5" thickBot="1" x14ac:dyDescent="0.4">
      <c r="B29" s="176"/>
      <c r="C29" s="35" t="s">
        <v>18</v>
      </c>
      <c r="D29" s="201">
        <f t="shared" si="0"/>
        <v>2.3001595570182831E-2</v>
      </c>
    </row>
    <row r="30" spans="2:4" ht="14.5" thickBot="1" x14ac:dyDescent="0.4">
      <c r="B30" s="176"/>
      <c r="C30" s="50" t="s">
        <v>24</v>
      </c>
      <c r="D30" s="201">
        <f t="shared" si="0"/>
        <v>3.8246256942910714E-2</v>
      </c>
    </row>
    <row r="31" spans="2:4" ht="14.5" thickBot="1" x14ac:dyDescent="0.4">
      <c r="B31" s="176"/>
      <c r="C31" s="50" t="s">
        <v>31</v>
      </c>
      <c r="D31" s="201">
        <f t="shared" si="0"/>
        <v>2.2865783330155584E-2</v>
      </c>
    </row>
    <row r="32" spans="2:4" ht="14.5" thickBot="1" x14ac:dyDescent="0.4">
      <c r="B32" s="176"/>
      <c r="C32" s="48" t="s">
        <v>25</v>
      </c>
      <c r="D32" s="201">
        <f t="shared" si="0"/>
        <v>2.2967642510176019E-2</v>
      </c>
    </row>
    <row r="33" spans="2:4" ht="14.5" thickBot="1" x14ac:dyDescent="0.4">
      <c r="B33" s="176"/>
      <c r="C33" s="48" t="s">
        <v>27</v>
      </c>
      <c r="D33" s="201">
        <f t="shared" si="0"/>
        <v>0.10410538001636915</v>
      </c>
    </row>
    <row r="34" spans="2:4" ht="14.5" thickBot="1" x14ac:dyDescent="0.4">
      <c r="B34" s="176"/>
      <c r="C34" s="50" t="s">
        <v>20</v>
      </c>
      <c r="D34" s="201">
        <f t="shared" si="0"/>
        <v>0.1041506507630449</v>
      </c>
    </row>
    <row r="35" spans="2:4" ht="14.5" thickBot="1" x14ac:dyDescent="0.4">
      <c r="B35" s="176"/>
      <c r="C35" s="48" t="s">
        <v>19</v>
      </c>
      <c r="D35" s="201">
        <f t="shared" si="0"/>
        <v>3.8438657616282651E-2</v>
      </c>
    </row>
    <row r="36" spans="2:4" ht="14.5" customHeight="1" thickBot="1" x14ac:dyDescent="0.4">
      <c r="B36" s="176"/>
      <c r="C36" s="50" t="s">
        <v>32</v>
      </c>
      <c r="D36" s="201">
        <f t="shared" si="0"/>
        <v>3.8093468172880063E-2</v>
      </c>
    </row>
    <row r="37" spans="2:4" ht="15" customHeight="1" thickBot="1" x14ac:dyDescent="0.4">
      <c r="B37" s="176"/>
      <c r="C37" s="50" t="s">
        <v>26</v>
      </c>
      <c r="D37" s="201">
        <f t="shared" si="0"/>
        <v>0.15064291988804737</v>
      </c>
    </row>
    <row r="38" spans="2:4" ht="15" customHeight="1" thickBot="1" x14ac:dyDescent="0.4">
      <c r="B38" s="176"/>
      <c r="C38" s="48" t="s">
        <v>30</v>
      </c>
      <c r="D38" s="201">
        <f t="shared" si="0"/>
        <v>2.2950665980172615E-2</v>
      </c>
    </row>
    <row r="39" spans="2:4" ht="14.5" thickBot="1" x14ac:dyDescent="0.4">
      <c r="B39" s="176"/>
      <c r="C39" s="50" t="s">
        <v>28</v>
      </c>
      <c r="D39" s="201">
        <f t="shared" si="0"/>
        <v>0.14947153931781235</v>
      </c>
    </row>
    <row r="40" spans="2:4" ht="14.5" thickBot="1" x14ac:dyDescent="0.4">
      <c r="B40" s="176"/>
      <c r="C40" s="50" t="s">
        <v>23</v>
      </c>
      <c r="D40" s="201">
        <f t="shared" si="0"/>
        <v>0.10422987456972747</v>
      </c>
    </row>
    <row r="41" spans="2:4" ht="14.5" thickBot="1" x14ac:dyDescent="0.4">
      <c r="B41" s="177"/>
      <c r="C41" s="48" t="s">
        <v>21</v>
      </c>
      <c r="D41" s="202">
        <f t="shared" si="0"/>
        <v>0.10411669770303809</v>
      </c>
    </row>
    <row r="42" spans="2:4" x14ac:dyDescent="0.35">
      <c r="B42" s="1"/>
      <c r="C42" s="154"/>
      <c r="D42" s="101" cm="1">
        <f t="array" ref="D42">SQRT(SUMPRODUCT(D27:D41^2))</f>
        <v>0.31283381629012647</v>
      </c>
    </row>
    <row r="43" spans="2:4" ht="14.5" thickBot="1" x14ac:dyDescent="0.4"/>
    <row r="44" spans="2:4" ht="14.5" thickBot="1" x14ac:dyDescent="0.4">
      <c r="B44" s="175" t="s">
        <v>0</v>
      </c>
      <c r="C44" s="48" t="s">
        <v>22</v>
      </c>
      <c r="D44" s="199">
        <f>D27/D$42</f>
        <v>0.12312569619149866</v>
      </c>
    </row>
    <row r="45" spans="2:4" ht="14.5" thickBot="1" x14ac:dyDescent="0.4">
      <c r="B45" s="176"/>
      <c r="C45" s="48" t="s">
        <v>29</v>
      </c>
      <c r="D45" s="200">
        <f>D28/D$42</f>
        <v>0.12211271354630931</v>
      </c>
    </row>
    <row r="46" spans="2:4" ht="14.5" thickBot="1" x14ac:dyDescent="0.4">
      <c r="B46" s="176"/>
      <c r="C46" s="144" t="s">
        <v>18</v>
      </c>
      <c r="D46" s="200">
        <f>D29/D$42</f>
        <v>7.3526563857312752E-2</v>
      </c>
    </row>
    <row r="47" spans="2:4" ht="14.5" thickBot="1" x14ac:dyDescent="0.4">
      <c r="B47" s="176"/>
      <c r="C47" s="50" t="s">
        <v>24</v>
      </c>
      <c r="D47" s="200">
        <f>D30/D$42</f>
        <v>0.12225742535276493</v>
      </c>
    </row>
    <row r="48" spans="2:4" ht="14.5" thickBot="1" x14ac:dyDescent="0.4">
      <c r="B48" s="176"/>
      <c r="C48" s="50" t="s">
        <v>31</v>
      </c>
      <c r="D48" s="200">
        <f>D31/D$42</f>
        <v>7.3092428437945903E-2</v>
      </c>
    </row>
    <row r="49" spans="2:5" ht="14.5" thickBot="1" x14ac:dyDescent="0.4">
      <c r="B49" s="176"/>
      <c r="C49" s="48" t="s">
        <v>25</v>
      </c>
      <c r="D49" s="200">
        <f>D32/D$42</f>
        <v>7.3418030002471046E-2</v>
      </c>
    </row>
    <row r="50" spans="2:5" ht="14.5" thickBot="1" x14ac:dyDescent="0.4">
      <c r="B50" s="176"/>
      <c r="C50" s="48" t="s">
        <v>27</v>
      </c>
      <c r="D50" s="200">
        <f>D33/D$42</f>
        <v>0.33278173456740484</v>
      </c>
    </row>
    <row r="51" spans="2:5" ht="14.5" thickBot="1" x14ac:dyDescent="0.4">
      <c r="B51" s="176"/>
      <c r="C51" s="50" t="s">
        <v>20</v>
      </c>
      <c r="D51" s="200">
        <f>D34/D$42</f>
        <v>0.33292644637386043</v>
      </c>
    </row>
    <row r="52" spans="2:5" ht="14.5" thickBot="1" x14ac:dyDescent="0.4">
      <c r="B52" s="176"/>
      <c r="C52" s="48" t="s">
        <v>19</v>
      </c>
      <c r="D52" s="200">
        <f>D35/D$42</f>
        <v>0.12287245053020132</v>
      </c>
    </row>
    <row r="53" spans="2:5" ht="14.5" thickBot="1" x14ac:dyDescent="0.4">
      <c r="B53" s="176"/>
      <c r="C53" s="50" t="s">
        <v>32</v>
      </c>
      <c r="D53" s="200">
        <f>D36/D$42</f>
        <v>0.12176902300597722</v>
      </c>
    </row>
    <row r="54" spans="2:5" ht="14.5" thickBot="1" x14ac:dyDescent="0.4">
      <c r="B54" s="176"/>
      <c r="C54" s="50" t="s">
        <v>26</v>
      </c>
      <c r="D54" s="200">
        <f>D37/D$42</f>
        <v>0.48154295361834865</v>
      </c>
    </row>
    <row r="55" spans="2:5" ht="14.5" thickBot="1" x14ac:dyDescent="0.4">
      <c r="B55" s="176"/>
      <c r="C55" s="48" t="s">
        <v>30</v>
      </c>
      <c r="D55" s="200">
        <f>D38/D$42</f>
        <v>7.3363763075050187E-2</v>
      </c>
    </row>
    <row r="56" spans="2:5" ht="14.5" thickBot="1" x14ac:dyDescent="0.4">
      <c r="B56" s="176"/>
      <c r="C56" s="50" t="s">
        <v>28</v>
      </c>
      <c r="D56" s="200">
        <f>D39/D$42</f>
        <v>0.47779853562630947</v>
      </c>
    </row>
    <row r="57" spans="2:5" ht="14.5" thickBot="1" x14ac:dyDescent="0.4">
      <c r="B57" s="176"/>
      <c r="C57" s="50" t="s">
        <v>23</v>
      </c>
      <c r="D57" s="200">
        <f>D40/D$42</f>
        <v>0.33317969203515785</v>
      </c>
    </row>
    <row r="58" spans="2:5" ht="14.5" thickBot="1" x14ac:dyDescent="0.4">
      <c r="B58" s="177"/>
      <c r="C58" s="48" t="s">
        <v>21</v>
      </c>
      <c r="D58" s="204">
        <f>D41/D$42</f>
        <v>0.33281791251901877</v>
      </c>
      <c r="E58" s="134"/>
    </row>
    <row r="59" spans="2:5" ht="14.5" thickBot="1" x14ac:dyDescent="0.4"/>
    <row r="60" spans="2:5" ht="14.5" thickBot="1" x14ac:dyDescent="0.4">
      <c r="B60" s="175" t="s">
        <v>0</v>
      </c>
      <c r="C60" s="48" t="s">
        <v>22</v>
      </c>
      <c r="D60" s="199">
        <f>D44*D$26</f>
        <v>0.12312569619149866</v>
      </c>
    </row>
    <row r="61" spans="2:5" ht="14.5" thickBot="1" x14ac:dyDescent="0.4">
      <c r="B61" s="176"/>
      <c r="C61" s="48" t="s">
        <v>29</v>
      </c>
      <c r="D61" s="200">
        <f>D45*D$26</f>
        <v>0.12211271354630931</v>
      </c>
    </row>
    <row r="62" spans="2:5" ht="14.5" thickBot="1" x14ac:dyDescent="0.4">
      <c r="B62" s="176"/>
      <c r="C62" s="144" t="s">
        <v>18</v>
      </c>
      <c r="D62" s="200">
        <f>D46*D$26</f>
        <v>7.3526563857312752E-2</v>
      </c>
    </row>
    <row r="63" spans="2:5" ht="14.5" thickBot="1" x14ac:dyDescent="0.4">
      <c r="B63" s="176"/>
      <c r="C63" s="50" t="s">
        <v>24</v>
      </c>
      <c r="D63" s="200">
        <f>D47*D$26</f>
        <v>0.12225742535276493</v>
      </c>
    </row>
    <row r="64" spans="2:5" ht="14.5" thickBot="1" x14ac:dyDescent="0.4">
      <c r="B64" s="176"/>
      <c r="C64" s="50" t="s">
        <v>31</v>
      </c>
      <c r="D64" s="200">
        <f>D48*D$26</f>
        <v>7.3092428437945903E-2</v>
      </c>
    </row>
    <row r="65" spans="2:5" ht="14.5" thickBot="1" x14ac:dyDescent="0.4">
      <c r="B65" s="176"/>
      <c r="C65" s="48" t="s">
        <v>25</v>
      </c>
      <c r="D65" s="200">
        <f>D49*D$26</f>
        <v>7.3418030002471046E-2</v>
      </c>
    </row>
    <row r="66" spans="2:5" ht="14.5" thickBot="1" x14ac:dyDescent="0.4">
      <c r="B66" s="176"/>
      <c r="C66" s="48" t="s">
        <v>27</v>
      </c>
      <c r="D66" s="200">
        <f>D50*D$26</f>
        <v>0.33278173456740484</v>
      </c>
    </row>
    <row r="67" spans="2:5" ht="14.5" thickBot="1" x14ac:dyDescent="0.4">
      <c r="B67" s="176"/>
      <c r="C67" s="50" t="s">
        <v>20</v>
      </c>
      <c r="D67" s="200">
        <f>D51*D$26</f>
        <v>0.33292644637386043</v>
      </c>
    </row>
    <row r="68" spans="2:5" ht="14.5" thickBot="1" x14ac:dyDescent="0.4">
      <c r="B68" s="176"/>
      <c r="C68" s="48" t="s">
        <v>19</v>
      </c>
      <c r="D68" s="200">
        <f>D52*D$26</f>
        <v>0.12287245053020132</v>
      </c>
    </row>
    <row r="69" spans="2:5" ht="14.5" thickBot="1" x14ac:dyDescent="0.4">
      <c r="B69" s="176"/>
      <c r="C69" s="50" t="s">
        <v>32</v>
      </c>
      <c r="D69" s="200">
        <f>D53*D$26</f>
        <v>0.12176902300597722</v>
      </c>
    </row>
    <row r="70" spans="2:5" ht="14.5" thickBot="1" x14ac:dyDescent="0.4">
      <c r="B70" s="176"/>
      <c r="C70" s="50" t="s">
        <v>26</v>
      </c>
      <c r="D70" s="200">
        <f>D54*D$26</f>
        <v>0.48154295361834865</v>
      </c>
    </row>
    <row r="71" spans="2:5" ht="14.5" thickBot="1" x14ac:dyDescent="0.4">
      <c r="B71" s="176"/>
      <c r="C71" s="48" t="s">
        <v>30</v>
      </c>
      <c r="D71" s="200">
        <f>D55*D$26</f>
        <v>7.3363763075050187E-2</v>
      </c>
    </row>
    <row r="72" spans="2:5" ht="14.5" thickBot="1" x14ac:dyDescent="0.4">
      <c r="B72" s="176"/>
      <c r="C72" s="50" t="s">
        <v>28</v>
      </c>
      <c r="D72" s="200">
        <f>D56*D$26</f>
        <v>0.47779853562630947</v>
      </c>
    </row>
    <row r="73" spans="2:5" ht="14.5" thickBot="1" x14ac:dyDescent="0.4">
      <c r="B73" s="176"/>
      <c r="C73" s="50" t="s">
        <v>23</v>
      </c>
      <c r="D73" s="200">
        <f>D57*D$26</f>
        <v>0.33317969203515785</v>
      </c>
    </row>
    <row r="74" spans="2:5" ht="14.5" thickBot="1" x14ac:dyDescent="0.4">
      <c r="B74" s="177"/>
      <c r="C74" s="48" t="s">
        <v>21</v>
      </c>
      <c r="D74" s="205">
        <f>D58*D$26</f>
        <v>0.33281791251901877</v>
      </c>
    </row>
    <row r="75" spans="2:5" ht="14.5" thickBot="1" x14ac:dyDescent="0.4">
      <c r="C75" s="49" t="s">
        <v>54</v>
      </c>
      <c r="D75" s="162">
        <f>MIN(D60:D74)</f>
        <v>7.3092428437945903E-2</v>
      </c>
    </row>
    <row r="76" spans="2:5" ht="14.5" thickBot="1" x14ac:dyDescent="0.4">
      <c r="C76" s="156" t="s">
        <v>55</v>
      </c>
      <c r="D76" s="164">
        <f>MAX(D60:D74)</f>
        <v>0.48154295361834865</v>
      </c>
    </row>
    <row r="77" spans="2:5" ht="14.5" thickBot="1" x14ac:dyDescent="0.4">
      <c r="D77" s="134"/>
    </row>
    <row r="78" spans="2:5" ht="15" customHeight="1" thickBot="1" x14ac:dyDescent="0.4">
      <c r="D78" s="49" t="s">
        <v>57</v>
      </c>
      <c r="E78" s="143" t="s">
        <v>58</v>
      </c>
    </row>
    <row r="79" spans="2:5" ht="14.5" thickBot="1" x14ac:dyDescent="0.4">
      <c r="B79" s="175" t="s">
        <v>0</v>
      </c>
      <c r="C79" s="48" t="s">
        <v>22</v>
      </c>
      <c r="D79" s="36">
        <f>(D60-D$75)^2</f>
        <v>2.5033278820987019E-3</v>
      </c>
      <c r="E79" s="199">
        <f>(D60-D$76)^2</f>
        <v>0.12846293042138485</v>
      </c>
    </row>
    <row r="80" spans="2:5" ht="14.5" thickBot="1" x14ac:dyDescent="0.4">
      <c r="B80" s="176"/>
      <c r="C80" s="48" t="s">
        <v>29</v>
      </c>
      <c r="D80" s="56">
        <f>(D61-D$75)^2</f>
        <v>2.4029883521052356E-3</v>
      </c>
      <c r="E80" s="200">
        <f>(D61-D$76)^2</f>
        <v>0.12919009747824384</v>
      </c>
    </row>
    <row r="81" spans="2:8" ht="14.5" thickBot="1" x14ac:dyDescent="0.4">
      <c r="B81" s="176"/>
      <c r="C81" s="144" t="s">
        <v>18</v>
      </c>
      <c r="D81" s="56">
        <f>(D62-D$75)^2</f>
        <v>1.8847356234882982E-7</v>
      </c>
      <c r="E81" s="200">
        <f>(D62-D$76)^2</f>
        <v>0.16647737431362955</v>
      </c>
    </row>
    <row r="82" spans="2:8" ht="14.5" thickBot="1" x14ac:dyDescent="0.4">
      <c r="B82" s="176"/>
      <c r="C82" s="50" t="s">
        <v>24</v>
      </c>
      <c r="D82" s="56">
        <f>(D63-D$75)^2</f>
        <v>2.4171969216341647E-3</v>
      </c>
      <c r="E82" s="200">
        <f>(D63-D$76)^2</f>
        <v>0.12908609082107952</v>
      </c>
    </row>
    <row r="83" spans="2:8" ht="14.5" thickBot="1" x14ac:dyDescent="0.4">
      <c r="B83" s="176"/>
      <c r="C83" s="50" t="s">
        <v>31</v>
      </c>
      <c r="D83" s="56">
        <f>(D64-D$75)^2</f>
        <v>0</v>
      </c>
      <c r="E83" s="200">
        <f>(D64-D$76)^2</f>
        <v>0.16683183152014683</v>
      </c>
    </row>
    <row r="84" spans="2:8" ht="14.5" thickBot="1" x14ac:dyDescent="0.4">
      <c r="B84" s="176"/>
      <c r="C84" s="48" t="s">
        <v>25</v>
      </c>
      <c r="D84" s="56">
        <f>(D65-D$75)^2</f>
        <v>1.0601637882122129E-7</v>
      </c>
      <c r="E84" s="200">
        <f>(D65-D$76)^2</f>
        <v>0.16656595327646592</v>
      </c>
    </row>
    <row r="85" spans="2:8" ht="14.5" thickBot="1" x14ac:dyDescent="0.4">
      <c r="B85" s="176"/>
      <c r="C85" s="48" t="s">
        <v>27</v>
      </c>
      <c r="D85" s="56">
        <f>(D66-D$75)^2</f>
        <v>6.7438535717999848E-2</v>
      </c>
      <c r="E85" s="200">
        <f>(D66-D$76)^2</f>
        <v>2.2129900293522888E-2</v>
      </c>
    </row>
    <row r="86" spans="2:8" ht="14.5" thickBot="1" x14ac:dyDescent="0.4">
      <c r="B86" s="176"/>
      <c r="C86" s="50" t="s">
        <v>20</v>
      </c>
      <c r="D86" s="56">
        <f>(D67-D$75)^2</f>
        <v>6.7513716876721155E-2</v>
      </c>
      <c r="E86" s="200">
        <f>(D67-D$76)^2</f>
        <v>2.2086866225551019E-2</v>
      </c>
    </row>
    <row r="87" spans="2:8" ht="14.5" thickBot="1" x14ac:dyDescent="0.4">
      <c r="B87" s="176"/>
      <c r="C87" s="48" t="s">
        <v>19</v>
      </c>
      <c r="D87" s="56">
        <f>(D68-D$75)^2</f>
        <v>2.4780505995054374E-3</v>
      </c>
      <c r="E87" s="200">
        <f>(D68-D$76)^2</f>
        <v>0.12864452978550467</v>
      </c>
    </row>
    <row r="88" spans="2:8" ht="14.5" thickBot="1" x14ac:dyDescent="0.4">
      <c r="B88" s="176"/>
      <c r="C88" s="50" t="s">
        <v>32</v>
      </c>
      <c r="D88" s="56">
        <f>(D69-D$75)^2</f>
        <v>2.369410858740496E-3</v>
      </c>
      <c r="E88" s="200">
        <f>(D69-D$76)^2</f>
        <v>0.12943728114827543</v>
      </c>
    </row>
    <row r="89" spans="2:8" ht="14.5" thickBot="1" x14ac:dyDescent="0.4">
      <c r="B89" s="176"/>
      <c r="C89" s="50" t="s">
        <v>26</v>
      </c>
      <c r="D89" s="56">
        <f>(D70-D$75)^2</f>
        <v>0.16683183152014683</v>
      </c>
      <c r="E89" s="200">
        <f>(D70-D$76)^2</f>
        <v>0</v>
      </c>
    </row>
    <row r="90" spans="2:8" ht="14.5" thickBot="1" x14ac:dyDescent="0.4">
      <c r="B90" s="176"/>
      <c r="C90" s="48" t="s">
        <v>30</v>
      </c>
      <c r="D90" s="56">
        <f>(D71-D$75)^2</f>
        <v>7.3622485292513532E-8</v>
      </c>
      <c r="E90" s="200">
        <f>(D71-D$76)^2</f>
        <v>0.16661025159258233</v>
      </c>
    </row>
    <row r="91" spans="2:8" ht="14.5" thickBot="1" x14ac:dyDescent="0.4">
      <c r="B91" s="176"/>
      <c r="C91" s="50" t="s">
        <v>28</v>
      </c>
      <c r="D91" s="56">
        <f>(D72-D$75)^2</f>
        <v>0.16378703319555923</v>
      </c>
      <c r="E91" s="200">
        <f>(D72-D$76)^2</f>
        <v>1.4020666099106671E-5</v>
      </c>
    </row>
    <row r="92" spans="2:8" ht="14.5" thickBot="1" x14ac:dyDescent="0.4">
      <c r="B92" s="176"/>
      <c r="C92" s="50" t="s">
        <v>23</v>
      </c>
      <c r="D92" s="56">
        <f>(D73-D$75)^2</f>
        <v>6.7645384685485616E-2</v>
      </c>
      <c r="E92" s="200">
        <f>(D73-D$76)^2</f>
        <v>2.2011657387602298E-2</v>
      </c>
    </row>
    <row r="93" spans="2:8" ht="14.5" thickBot="1" x14ac:dyDescent="0.4">
      <c r="B93" s="177"/>
      <c r="C93" s="48" t="s">
        <v>21</v>
      </c>
      <c r="D93" s="57">
        <f>(D74-D$75)^2</f>
        <v>6.7457327081147642E-2</v>
      </c>
      <c r="E93" s="204">
        <f>(D74-D$76)^2</f>
        <v>2.2119137849997361E-2</v>
      </c>
    </row>
    <row r="94" spans="2:8" ht="14.5" thickBot="1" x14ac:dyDescent="0.4"/>
    <row r="95" spans="2:8" ht="14.5" thickBot="1" x14ac:dyDescent="0.4">
      <c r="D95" s="155" t="s">
        <v>59</v>
      </c>
      <c r="F95" s="197"/>
      <c r="G95" s="155" t="s">
        <v>60</v>
      </c>
      <c r="H95" s="155" t="s">
        <v>53</v>
      </c>
    </row>
    <row r="96" spans="2:8" ht="14.5" thickBot="1" x14ac:dyDescent="0.4">
      <c r="B96" s="175" t="s">
        <v>0</v>
      </c>
      <c r="C96" s="48" t="s">
        <v>22</v>
      </c>
      <c r="D96" s="162">
        <f>E79/(D79+E79)</f>
        <v>0.98088570358101068</v>
      </c>
      <c r="F96" s="42" t="s">
        <v>31</v>
      </c>
      <c r="G96" s="162">
        <v>1</v>
      </c>
      <c r="H96" s="166">
        <v>1</v>
      </c>
    </row>
    <row r="97" spans="2:8" ht="14.5" thickBot="1" x14ac:dyDescent="0.4">
      <c r="B97" s="176"/>
      <c r="C97" s="48" t="s">
        <v>29</v>
      </c>
      <c r="D97" s="162">
        <f t="shared" ref="D97:D110" si="1">E80/(D80+E80)</f>
        <v>0.9817392506837086</v>
      </c>
      <c r="F97" s="48" t="s">
        <v>30</v>
      </c>
      <c r="G97" s="162">
        <v>0.99999955811570973</v>
      </c>
      <c r="H97" s="166">
        <v>2</v>
      </c>
    </row>
    <row r="98" spans="2:8" ht="14.5" thickBot="1" x14ac:dyDescent="0.4">
      <c r="B98" s="176"/>
      <c r="C98" s="144" t="s">
        <v>18</v>
      </c>
      <c r="D98" s="162">
        <f t="shared" si="1"/>
        <v>0.99999886787408954</v>
      </c>
      <c r="F98" s="48" t="s">
        <v>25</v>
      </c>
      <c r="G98" s="162">
        <v>0.99999936351751817</v>
      </c>
      <c r="H98" s="166">
        <v>3</v>
      </c>
    </row>
    <row r="99" spans="2:8" ht="14.5" thickBot="1" x14ac:dyDescent="0.4">
      <c r="B99" s="176"/>
      <c r="C99" s="50" t="s">
        <v>24</v>
      </c>
      <c r="D99" s="162">
        <f t="shared" si="1"/>
        <v>0.98161873392577514</v>
      </c>
      <c r="F99" s="144" t="s">
        <v>18</v>
      </c>
      <c r="G99" s="162">
        <v>0.99999886787408954</v>
      </c>
      <c r="H99" s="166">
        <v>4</v>
      </c>
    </row>
    <row r="100" spans="2:8" ht="14.5" thickBot="1" x14ac:dyDescent="0.4">
      <c r="B100" s="176"/>
      <c r="C100" s="50" t="s">
        <v>31</v>
      </c>
      <c r="D100" s="162">
        <f t="shared" si="1"/>
        <v>1</v>
      </c>
      <c r="F100" s="50" t="s">
        <v>32</v>
      </c>
      <c r="G100" s="162">
        <v>0.98202359210551793</v>
      </c>
      <c r="H100" s="166">
        <v>5</v>
      </c>
    </row>
    <row r="101" spans="2:8" ht="14.5" thickBot="1" x14ac:dyDescent="0.4">
      <c r="B101" s="176"/>
      <c r="C101" s="48" t="s">
        <v>25</v>
      </c>
      <c r="D101" s="162">
        <f t="shared" si="1"/>
        <v>0.99999936351751817</v>
      </c>
      <c r="F101" s="48" t="s">
        <v>29</v>
      </c>
      <c r="G101" s="162">
        <v>0.9817392506837086</v>
      </c>
      <c r="H101" s="166">
        <v>6</v>
      </c>
    </row>
    <row r="102" spans="2:8" ht="14.5" thickBot="1" x14ac:dyDescent="0.4">
      <c r="B102" s="176"/>
      <c r="C102" s="48" t="s">
        <v>27</v>
      </c>
      <c r="D102" s="162">
        <f t="shared" si="1"/>
        <v>0.24707253223307302</v>
      </c>
      <c r="F102" s="50" t="s">
        <v>24</v>
      </c>
      <c r="G102" s="162">
        <v>0.98161873392577514</v>
      </c>
      <c r="H102" s="166">
        <v>7</v>
      </c>
    </row>
    <row r="103" spans="2:8" ht="14.5" thickBot="1" x14ac:dyDescent="0.4">
      <c r="B103" s="176"/>
      <c r="C103" s="50" t="s">
        <v>20</v>
      </c>
      <c r="D103" s="162">
        <f t="shared" si="1"/>
        <v>0.24650359920471232</v>
      </c>
      <c r="F103" s="48" t="s">
        <v>19</v>
      </c>
      <c r="G103" s="162">
        <v>0.98110126728570146</v>
      </c>
      <c r="H103" s="166">
        <v>8</v>
      </c>
    </row>
    <row r="104" spans="2:8" ht="14.5" thickBot="1" x14ac:dyDescent="0.4">
      <c r="B104" s="176"/>
      <c r="C104" s="48" t="s">
        <v>19</v>
      </c>
      <c r="D104" s="162">
        <f t="shared" si="1"/>
        <v>0.98110126728570146</v>
      </c>
      <c r="F104" s="48" t="s">
        <v>22</v>
      </c>
      <c r="G104" s="162">
        <v>0.98088570358101068</v>
      </c>
      <c r="H104" s="166">
        <v>9</v>
      </c>
    </row>
    <row r="105" spans="2:8" ht="14.5" thickBot="1" x14ac:dyDescent="0.4">
      <c r="B105" s="176"/>
      <c r="C105" s="50" t="s">
        <v>32</v>
      </c>
      <c r="D105" s="162">
        <f t="shared" si="1"/>
        <v>0.98202359210551793</v>
      </c>
      <c r="F105" s="48" t="s">
        <v>27</v>
      </c>
      <c r="G105" s="162">
        <v>0.24707253223307302</v>
      </c>
      <c r="H105" s="166">
        <v>10</v>
      </c>
    </row>
    <row r="106" spans="2:8" ht="14.5" thickBot="1" x14ac:dyDescent="0.4">
      <c r="B106" s="176"/>
      <c r="C106" s="50" t="s">
        <v>26</v>
      </c>
      <c r="D106" s="162">
        <f t="shared" si="1"/>
        <v>0</v>
      </c>
      <c r="F106" s="48" t="s">
        <v>21</v>
      </c>
      <c r="G106" s="162">
        <v>0.24693023850628334</v>
      </c>
      <c r="H106" s="166">
        <v>11</v>
      </c>
    </row>
    <row r="107" spans="2:8" ht="14.5" thickBot="1" x14ac:dyDescent="0.4">
      <c r="B107" s="176"/>
      <c r="C107" s="48" t="s">
        <v>30</v>
      </c>
      <c r="D107" s="162">
        <f t="shared" si="1"/>
        <v>0.99999955811570973</v>
      </c>
      <c r="F107" s="50" t="s">
        <v>20</v>
      </c>
      <c r="G107" s="162">
        <v>0.24650359920471232</v>
      </c>
      <c r="H107" s="166">
        <v>12</v>
      </c>
    </row>
    <row r="108" spans="2:8" ht="14.5" thickBot="1" x14ac:dyDescent="0.4">
      <c r="B108" s="176"/>
      <c r="C108" s="50" t="s">
        <v>28</v>
      </c>
      <c r="D108" s="162">
        <f t="shared" si="1"/>
        <v>8.5595701422947647E-5</v>
      </c>
      <c r="F108" s="50" t="s">
        <v>23</v>
      </c>
      <c r="G108" s="162">
        <v>0.24550952026343362</v>
      </c>
      <c r="H108" s="166">
        <v>13</v>
      </c>
    </row>
    <row r="109" spans="2:8" ht="14.5" thickBot="1" x14ac:dyDescent="0.4">
      <c r="B109" s="176"/>
      <c r="C109" s="50" t="s">
        <v>23</v>
      </c>
      <c r="D109" s="162">
        <f t="shared" si="1"/>
        <v>0.24550952026343362</v>
      </c>
      <c r="F109" s="50" t="s">
        <v>28</v>
      </c>
      <c r="G109" s="162">
        <v>8.5595701422947647E-5</v>
      </c>
      <c r="H109" s="166">
        <v>14</v>
      </c>
    </row>
    <row r="110" spans="2:8" ht="14.5" thickBot="1" x14ac:dyDescent="0.4">
      <c r="B110" s="177"/>
      <c r="C110" s="48" t="s">
        <v>21</v>
      </c>
      <c r="D110" s="206">
        <f t="shared" si="1"/>
        <v>0.24693023850628334</v>
      </c>
      <c r="F110" s="50" t="s">
        <v>26</v>
      </c>
      <c r="G110" s="206">
        <v>0</v>
      </c>
      <c r="H110" s="207">
        <v>15</v>
      </c>
    </row>
  </sheetData>
  <sortState xmlns:xlrd2="http://schemas.microsoft.com/office/spreadsheetml/2017/richdata2" ref="F96:G110">
    <sortCondition descending="1" ref="G96:G110"/>
  </sortState>
  <mergeCells count="10">
    <mergeCell ref="B44:B58"/>
    <mergeCell ref="B60:B74"/>
    <mergeCell ref="B79:B93"/>
    <mergeCell ref="B96:B110"/>
    <mergeCell ref="B2:C4"/>
    <mergeCell ref="B5:C5"/>
    <mergeCell ref="B6:B20"/>
    <mergeCell ref="B23:C25"/>
    <mergeCell ref="B26:C26"/>
    <mergeCell ref="B27:B41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E5D5-2799-486D-A409-0DFE26C9E35B}">
  <dimension ref="B1:O107"/>
  <sheetViews>
    <sheetView topLeftCell="A92" zoomScale="118" zoomScaleNormal="80" workbookViewId="0">
      <selection activeCell="H114" sqref="H114"/>
    </sheetView>
  </sheetViews>
  <sheetFormatPr baseColWidth="10" defaultRowHeight="14" x14ac:dyDescent="0.35"/>
  <cols>
    <col min="1" max="1" width="10.90625" style="35"/>
    <col min="2" max="2" width="13.1796875" style="35" bestFit="1" customWidth="1"/>
    <col min="3" max="3" width="22.6328125" style="35" bestFit="1" customWidth="1"/>
    <col min="4" max="4" width="19.7265625" style="35" bestFit="1" customWidth="1"/>
    <col min="5" max="5" width="15.6328125" style="35" customWidth="1"/>
    <col min="6" max="6" width="19.54296875" style="35" bestFit="1" customWidth="1"/>
    <col min="7" max="8" width="15.6328125" style="35" customWidth="1"/>
    <col min="9" max="9" width="11" style="35" bestFit="1" customWidth="1"/>
    <col min="10" max="10" width="12.26953125" style="35" bestFit="1" customWidth="1"/>
    <col min="11" max="11" width="11.7265625" style="35" customWidth="1"/>
    <col min="12" max="12" width="11.6328125" style="35" bestFit="1" customWidth="1"/>
    <col min="13" max="13" width="11" style="35" bestFit="1" customWidth="1"/>
    <col min="14" max="16" width="10.453125" style="35" bestFit="1" customWidth="1"/>
    <col min="17" max="18" width="10.90625" style="35"/>
    <col min="19" max="19" width="11" style="35" bestFit="1" customWidth="1"/>
    <col min="20" max="16384" width="10.90625" style="35"/>
  </cols>
  <sheetData>
    <row r="1" spans="2:12" ht="14.5" thickBot="1" x14ac:dyDescent="0.4"/>
    <row r="2" spans="2:12" ht="14.5" customHeight="1" thickBot="1" x14ac:dyDescent="0.4">
      <c r="B2" s="178" t="s">
        <v>40</v>
      </c>
      <c r="C2" s="179"/>
      <c r="D2" s="182" t="s">
        <v>1</v>
      </c>
      <c r="E2" s="183"/>
      <c r="F2" s="183"/>
      <c r="G2" s="183"/>
      <c r="H2" s="184"/>
    </row>
    <row r="3" spans="2:12" ht="15" customHeight="1" thickBot="1" x14ac:dyDescent="0.4">
      <c r="B3" s="180"/>
      <c r="C3" s="181"/>
      <c r="D3" s="187" t="s">
        <v>3</v>
      </c>
      <c r="E3" s="188"/>
      <c r="F3" s="188"/>
      <c r="G3" s="188"/>
      <c r="H3" s="189"/>
    </row>
    <row r="4" spans="2:12" ht="15" customHeight="1" thickBot="1" x14ac:dyDescent="0.4">
      <c r="B4" s="180"/>
      <c r="C4" s="181"/>
      <c r="D4" s="178" t="s">
        <v>61</v>
      </c>
      <c r="E4" s="187" t="s">
        <v>62</v>
      </c>
      <c r="F4" s="188"/>
      <c r="G4" s="188"/>
      <c r="H4" s="189"/>
    </row>
    <row r="5" spans="2:12" ht="14.5" thickBot="1" x14ac:dyDescent="0.4">
      <c r="B5" s="180"/>
      <c r="C5" s="181"/>
      <c r="D5" s="190"/>
      <c r="E5" s="14" t="s">
        <v>63</v>
      </c>
      <c r="F5" s="14" t="s">
        <v>64</v>
      </c>
      <c r="G5" s="14" t="s">
        <v>65</v>
      </c>
      <c r="H5" s="14" t="s">
        <v>66</v>
      </c>
    </row>
    <row r="6" spans="2:12" ht="15" customHeight="1" thickBot="1" x14ac:dyDescent="0.4">
      <c r="B6" s="185" t="s">
        <v>52</v>
      </c>
      <c r="C6" s="186"/>
      <c r="D6" s="34">
        <v>0.5</v>
      </c>
      <c r="E6" s="34">
        <v>0.2</v>
      </c>
      <c r="F6" s="34">
        <f>E6*0.75</f>
        <v>0.15000000000000002</v>
      </c>
      <c r="G6" s="34">
        <f>E6*0.5</f>
        <v>0.1</v>
      </c>
      <c r="H6" s="34">
        <f>E6*0.25</f>
        <v>0.05</v>
      </c>
      <c r="I6" s="134">
        <f>SUM(D6:H6)</f>
        <v>1</v>
      </c>
    </row>
    <row r="7" spans="2:12" ht="14.5" thickBot="1" x14ac:dyDescent="0.4">
      <c r="B7" s="175" t="s">
        <v>0</v>
      </c>
      <c r="C7" s="48" t="s">
        <v>22</v>
      </c>
      <c r="D7" s="217">
        <v>18776</v>
      </c>
      <c r="E7" s="218">
        <v>0</v>
      </c>
      <c r="F7" s="218">
        <v>11379</v>
      </c>
      <c r="G7" s="218">
        <v>6755</v>
      </c>
      <c r="H7" s="219">
        <v>642</v>
      </c>
    </row>
    <row r="8" spans="2:12" ht="14.5" thickBot="1" x14ac:dyDescent="0.4">
      <c r="B8" s="176"/>
      <c r="C8" s="48" t="s">
        <v>29</v>
      </c>
      <c r="D8" s="220">
        <v>9919</v>
      </c>
      <c r="E8" s="221">
        <v>0</v>
      </c>
      <c r="F8" s="221">
        <v>2365</v>
      </c>
      <c r="G8" s="221">
        <v>6602</v>
      </c>
      <c r="H8" s="222">
        <v>952</v>
      </c>
    </row>
    <row r="9" spans="2:12" ht="14.5" thickBot="1" x14ac:dyDescent="0.4">
      <c r="B9" s="176"/>
      <c r="C9" s="35" t="s">
        <v>18</v>
      </c>
      <c r="D9" s="220">
        <v>8014</v>
      </c>
      <c r="E9" s="221">
        <v>0</v>
      </c>
      <c r="F9" s="221">
        <v>3075</v>
      </c>
      <c r="G9" s="221">
        <v>4698</v>
      </c>
      <c r="H9" s="222">
        <v>241</v>
      </c>
    </row>
    <row r="10" spans="2:12" ht="14.5" thickBot="1" x14ac:dyDescent="0.4">
      <c r="B10" s="176"/>
      <c r="C10" s="50" t="s">
        <v>24</v>
      </c>
      <c r="D10" s="220">
        <v>16950</v>
      </c>
      <c r="E10" s="221">
        <v>2531</v>
      </c>
      <c r="F10" s="221">
        <v>4168</v>
      </c>
      <c r="G10" s="221">
        <v>10251</v>
      </c>
      <c r="H10" s="222">
        <v>0</v>
      </c>
    </row>
    <row r="11" spans="2:12" ht="14.5" thickBot="1" x14ac:dyDescent="0.4">
      <c r="B11" s="176"/>
      <c r="C11" s="50" t="s">
        <v>31</v>
      </c>
      <c r="D11" s="220">
        <v>4271</v>
      </c>
      <c r="E11" s="221">
        <v>0</v>
      </c>
      <c r="F11" s="221">
        <v>0</v>
      </c>
      <c r="G11" s="221">
        <v>1352</v>
      </c>
      <c r="H11" s="222">
        <v>2919</v>
      </c>
    </row>
    <row r="12" spans="2:12" ht="14.5" thickBot="1" x14ac:dyDescent="0.4">
      <c r="B12" s="176"/>
      <c r="C12" s="48" t="s">
        <v>25</v>
      </c>
      <c r="D12" s="220">
        <v>4788</v>
      </c>
      <c r="E12" s="221">
        <v>0</v>
      </c>
      <c r="F12" s="221">
        <v>0</v>
      </c>
      <c r="G12" s="221">
        <v>1836</v>
      </c>
      <c r="H12" s="222">
        <v>2952</v>
      </c>
      <c r="L12" s="133"/>
    </row>
    <row r="13" spans="2:12" ht="14.5" thickBot="1" x14ac:dyDescent="0.4">
      <c r="B13" s="176"/>
      <c r="C13" s="48" t="s">
        <v>27</v>
      </c>
      <c r="D13" s="220">
        <v>33841</v>
      </c>
      <c r="E13" s="221">
        <v>5674</v>
      </c>
      <c r="F13" s="221">
        <v>9896</v>
      </c>
      <c r="G13" s="221">
        <v>17044</v>
      </c>
      <c r="H13" s="222">
        <v>1227</v>
      </c>
    </row>
    <row r="14" spans="2:12" ht="14.5" thickBot="1" x14ac:dyDescent="0.4">
      <c r="B14" s="176"/>
      <c r="C14" s="50" t="s">
        <v>20</v>
      </c>
      <c r="D14" s="220">
        <v>10687</v>
      </c>
      <c r="E14" s="221">
        <v>540</v>
      </c>
      <c r="F14" s="221">
        <v>6660</v>
      </c>
      <c r="G14" s="221">
        <v>1264</v>
      </c>
      <c r="H14" s="222">
        <v>2223</v>
      </c>
    </row>
    <row r="15" spans="2:12" ht="14.5" thickBot="1" x14ac:dyDescent="0.4">
      <c r="B15" s="176"/>
      <c r="C15" s="48" t="s">
        <v>19</v>
      </c>
      <c r="D15" s="220">
        <v>21459</v>
      </c>
      <c r="E15" s="221">
        <v>10219</v>
      </c>
      <c r="F15" s="221">
        <v>1767</v>
      </c>
      <c r="G15" s="221">
        <v>9133</v>
      </c>
      <c r="H15" s="222">
        <v>340</v>
      </c>
      <c r="I15" s="1"/>
    </row>
    <row r="16" spans="2:12" ht="14.5" customHeight="1" thickBot="1" x14ac:dyDescent="0.4">
      <c r="B16" s="176"/>
      <c r="C16" s="50" t="s">
        <v>32</v>
      </c>
      <c r="D16" s="220">
        <v>39496</v>
      </c>
      <c r="E16" s="221">
        <v>22476</v>
      </c>
      <c r="F16" s="221">
        <v>4888</v>
      </c>
      <c r="G16" s="221">
        <v>9418</v>
      </c>
      <c r="H16" s="222">
        <v>2714</v>
      </c>
      <c r="I16" s="1"/>
    </row>
    <row r="17" spans="2:9" ht="15" customHeight="1" thickBot="1" x14ac:dyDescent="0.4">
      <c r="B17" s="176"/>
      <c r="C17" s="50" t="s">
        <v>26</v>
      </c>
      <c r="D17" s="220">
        <v>33458</v>
      </c>
      <c r="E17" s="221">
        <v>11660</v>
      </c>
      <c r="F17" s="221">
        <v>9441</v>
      </c>
      <c r="G17" s="221">
        <v>12357</v>
      </c>
      <c r="H17" s="222">
        <v>0</v>
      </c>
      <c r="I17" s="1"/>
    </row>
    <row r="18" spans="2:9" ht="15" customHeight="1" thickBot="1" x14ac:dyDescent="0.4">
      <c r="B18" s="176"/>
      <c r="C18" s="48" t="s">
        <v>30</v>
      </c>
      <c r="D18" s="220">
        <v>5813</v>
      </c>
      <c r="E18" s="221">
        <v>0</v>
      </c>
      <c r="F18" s="221">
        <v>384</v>
      </c>
      <c r="G18" s="221">
        <v>0</v>
      </c>
      <c r="H18" s="222">
        <v>5429</v>
      </c>
      <c r="I18" s="1"/>
    </row>
    <row r="19" spans="2:9" ht="14.5" thickBot="1" x14ac:dyDescent="0.4">
      <c r="B19" s="176"/>
      <c r="C19" s="50" t="s">
        <v>28</v>
      </c>
      <c r="D19" s="220">
        <v>33319</v>
      </c>
      <c r="E19" s="221">
        <v>1536</v>
      </c>
      <c r="F19" s="221">
        <v>6341</v>
      </c>
      <c r="G19" s="221">
        <v>18382</v>
      </c>
      <c r="H19" s="222">
        <v>7060</v>
      </c>
      <c r="I19" s="1"/>
    </row>
    <row r="20" spans="2:9" ht="14.5" thickBot="1" x14ac:dyDescent="0.4">
      <c r="B20" s="176"/>
      <c r="C20" s="50" t="s">
        <v>23</v>
      </c>
      <c r="D20" s="220">
        <v>31830</v>
      </c>
      <c r="E20" s="221">
        <v>8666</v>
      </c>
      <c r="F20" s="221">
        <v>7353</v>
      </c>
      <c r="G20" s="221">
        <v>12759</v>
      </c>
      <c r="H20" s="222">
        <v>3052</v>
      </c>
      <c r="I20" s="1"/>
    </row>
    <row r="21" spans="2:9" ht="14.5" thickBot="1" x14ac:dyDescent="0.4">
      <c r="B21" s="177"/>
      <c r="C21" s="48" t="s">
        <v>21</v>
      </c>
      <c r="D21" s="223">
        <v>24054</v>
      </c>
      <c r="E21" s="224">
        <v>1327</v>
      </c>
      <c r="F21" s="224">
        <v>3283</v>
      </c>
      <c r="G21" s="224">
        <v>12122</v>
      </c>
      <c r="H21" s="225">
        <v>7322</v>
      </c>
      <c r="I21" s="1"/>
    </row>
    <row r="22" spans="2:9" x14ac:dyDescent="0.35">
      <c r="B22" s="1"/>
      <c r="C22" s="154"/>
      <c r="D22" s="226">
        <f>SUM(D7:D21)</f>
        <v>296675</v>
      </c>
      <c r="E22" s="226">
        <f t="shared" ref="E22:H22" si="0">SUM(E7:E21)</f>
        <v>64629</v>
      </c>
      <c r="F22" s="226">
        <f t="shared" si="0"/>
        <v>71000</v>
      </c>
      <c r="G22" s="226">
        <f t="shared" si="0"/>
        <v>123973</v>
      </c>
      <c r="H22" s="226">
        <f t="shared" si="0"/>
        <v>37073</v>
      </c>
      <c r="I22" s="1"/>
    </row>
    <row r="23" spans="2:9" ht="14.5" thickBot="1" x14ac:dyDescent="0.4">
      <c r="B23" s="1"/>
      <c r="C23" s="154"/>
      <c r="D23" s="101"/>
      <c r="E23" s="101"/>
      <c r="F23" s="101"/>
      <c r="G23" s="101"/>
      <c r="H23" s="101"/>
      <c r="I23" s="1"/>
    </row>
    <row r="24" spans="2:9" ht="14.5" thickBot="1" x14ac:dyDescent="0.4">
      <c r="B24" s="175" t="s">
        <v>0</v>
      </c>
      <c r="C24" s="48" t="s">
        <v>22</v>
      </c>
      <c r="D24" s="36">
        <f>D7/D$22</f>
        <v>6.32881098845538E-2</v>
      </c>
      <c r="E24" s="36">
        <f t="shared" ref="E24:H24" si="1">E7/E$22</f>
        <v>0</v>
      </c>
      <c r="F24" s="36">
        <f t="shared" si="1"/>
        <v>0.16026760563380282</v>
      </c>
      <c r="G24" s="36">
        <f t="shared" si="1"/>
        <v>5.4487670702491671E-2</v>
      </c>
      <c r="H24" s="36">
        <f t="shared" si="1"/>
        <v>1.7317185013352034E-2</v>
      </c>
      <c r="I24" s="1"/>
    </row>
    <row r="25" spans="2:9" ht="14.5" thickBot="1" x14ac:dyDescent="0.4">
      <c r="B25" s="176"/>
      <c r="C25" s="48" t="s">
        <v>29</v>
      </c>
      <c r="D25" s="36">
        <f t="shared" ref="D25:H25" si="2">D8/D$22</f>
        <v>3.3433892306395888E-2</v>
      </c>
      <c r="E25" s="36">
        <f t="shared" si="2"/>
        <v>0</v>
      </c>
      <c r="F25" s="36">
        <f t="shared" si="2"/>
        <v>3.330985915492958E-2</v>
      </c>
      <c r="G25" s="36">
        <f t="shared" si="2"/>
        <v>5.3253531010784609E-2</v>
      </c>
      <c r="H25" s="36">
        <f t="shared" si="2"/>
        <v>2.5679065627275916E-2</v>
      </c>
      <c r="I25" s="1"/>
    </row>
    <row r="26" spans="2:9" ht="14.5" thickBot="1" x14ac:dyDescent="0.4">
      <c r="B26" s="176"/>
      <c r="C26" s="144" t="s">
        <v>18</v>
      </c>
      <c r="D26" s="36">
        <f t="shared" ref="D26:H26" si="3">D9/D$22</f>
        <v>2.7012724361675233E-2</v>
      </c>
      <c r="E26" s="36">
        <f t="shared" si="3"/>
        <v>0</v>
      </c>
      <c r="F26" s="36">
        <f t="shared" si="3"/>
        <v>4.3309859154929575E-2</v>
      </c>
      <c r="G26" s="36">
        <f t="shared" si="3"/>
        <v>3.7895348180652239E-2</v>
      </c>
      <c r="H26" s="36">
        <f t="shared" si="3"/>
        <v>6.5006878321150164E-3</v>
      </c>
      <c r="I26" s="1"/>
    </row>
    <row r="27" spans="2:9" ht="14.5" thickBot="1" x14ac:dyDescent="0.4">
      <c r="B27" s="176"/>
      <c r="C27" s="50" t="s">
        <v>24</v>
      </c>
      <c r="D27" s="36">
        <f t="shared" ref="D27:H27" si="4">D10/D$22</f>
        <v>5.7133226594758571E-2</v>
      </c>
      <c r="E27" s="36">
        <f t="shared" si="4"/>
        <v>3.9161986105308765E-2</v>
      </c>
      <c r="F27" s="36">
        <f t="shared" si="4"/>
        <v>5.8704225352112678E-2</v>
      </c>
      <c r="G27" s="36">
        <f t="shared" si="4"/>
        <v>8.2687359344373365E-2</v>
      </c>
      <c r="H27" s="36">
        <f t="shared" si="4"/>
        <v>0</v>
      </c>
      <c r="I27" s="1"/>
    </row>
    <row r="28" spans="2:9" ht="14.5" thickBot="1" x14ac:dyDescent="0.4">
      <c r="B28" s="176"/>
      <c r="C28" s="50" t="s">
        <v>31</v>
      </c>
      <c r="D28" s="36">
        <f t="shared" ref="D28:H28" si="5">D11/D$22</f>
        <v>1.4396224825145361E-2</v>
      </c>
      <c r="E28" s="36">
        <f t="shared" si="5"/>
        <v>0</v>
      </c>
      <c r="F28" s="36">
        <f t="shared" si="5"/>
        <v>0</v>
      </c>
      <c r="G28" s="36">
        <f t="shared" si="5"/>
        <v>1.0905600412993151E-2</v>
      </c>
      <c r="H28" s="36">
        <f t="shared" si="5"/>
        <v>7.8736546813044539E-2</v>
      </c>
      <c r="I28" s="1"/>
    </row>
    <row r="29" spans="2:9" ht="14.5" thickBot="1" x14ac:dyDescent="0.4">
      <c r="B29" s="176"/>
      <c r="C29" s="48" t="s">
        <v>25</v>
      </c>
      <c r="D29" s="36">
        <f t="shared" ref="D29:H29" si="6">D12/D$22</f>
        <v>1.6138872503581359E-2</v>
      </c>
      <c r="E29" s="36">
        <f t="shared" si="6"/>
        <v>0</v>
      </c>
      <c r="F29" s="36">
        <f t="shared" si="6"/>
        <v>0</v>
      </c>
      <c r="G29" s="36">
        <f t="shared" si="6"/>
        <v>1.4809676300484784E-2</v>
      </c>
      <c r="H29" s="36">
        <f t="shared" si="6"/>
        <v>7.9626682491300949E-2</v>
      </c>
      <c r="I29" s="1"/>
    </row>
    <row r="30" spans="2:9" ht="14.5" thickBot="1" x14ac:dyDescent="0.4">
      <c r="B30" s="176"/>
      <c r="C30" s="48" t="s">
        <v>27</v>
      </c>
      <c r="D30" s="36">
        <f t="shared" ref="D30:H30" si="7">D13/D$22</f>
        <v>0.1140675823712817</v>
      </c>
      <c r="E30" s="36">
        <f t="shared" si="7"/>
        <v>8.7793405437187638E-2</v>
      </c>
      <c r="F30" s="36">
        <f t="shared" si="7"/>
        <v>0.13938028169014086</v>
      </c>
      <c r="G30" s="36">
        <f t="shared" si="7"/>
        <v>0.1374815484016681</v>
      </c>
      <c r="H30" s="36">
        <f t="shared" si="7"/>
        <v>3.3096862946079358E-2</v>
      </c>
      <c r="I30" s="1"/>
    </row>
    <row r="31" spans="2:9" ht="14.5" thickBot="1" x14ac:dyDescent="0.4">
      <c r="B31" s="176"/>
      <c r="C31" s="50" t="s">
        <v>20</v>
      </c>
      <c r="D31" s="36">
        <f t="shared" ref="D31:H31" si="8">D14/D$22</f>
        <v>3.6022583635291143E-2</v>
      </c>
      <c r="E31" s="36">
        <f t="shared" si="8"/>
        <v>8.3553822587383378E-3</v>
      </c>
      <c r="F31" s="36">
        <f t="shared" si="8"/>
        <v>9.3802816901408445E-2</v>
      </c>
      <c r="G31" s="36">
        <f t="shared" si="8"/>
        <v>1.0195768433449218E-2</v>
      </c>
      <c r="H31" s="36">
        <f t="shared" si="8"/>
        <v>5.9962776144363822E-2</v>
      </c>
      <c r="I31" s="1"/>
    </row>
    <row r="32" spans="2:9" ht="14.5" thickBot="1" x14ac:dyDescent="0.4">
      <c r="B32" s="176"/>
      <c r="C32" s="48" t="s">
        <v>19</v>
      </c>
      <c r="D32" s="36">
        <f t="shared" ref="D32:H32" si="9">D15/D$22</f>
        <v>7.2331676076514709E-2</v>
      </c>
      <c r="E32" s="36">
        <f t="shared" si="9"/>
        <v>0.15811787278156864</v>
      </c>
      <c r="F32" s="36">
        <f t="shared" si="9"/>
        <v>2.4887323943661971E-2</v>
      </c>
      <c r="G32" s="36">
        <f t="shared" si="9"/>
        <v>7.366926669516749E-2</v>
      </c>
      <c r="H32" s="36">
        <f t="shared" si="9"/>
        <v>9.1710948668842548E-3</v>
      </c>
      <c r="I32" s="1"/>
    </row>
    <row r="33" spans="2:9" ht="14.5" thickBot="1" x14ac:dyDescent="0.4">
      <c r="B33" s="176"/>
      <c r="C33" s="50" t="s">
        <v>32</v>
      </c>
      <c r="D33" s="36">
        <f t="shared" ref="D33:H33" si="10">D16/D$22</f>
        <v>0.13312884469537373</v>
      </c>
      <c r="E33" s="36">
        <f t="shared" si="10"/>
        <v>0.34776957712482015</v>
      </c>
      <c r="F33" s="36">
        <f t="shared" si="10"/>
        <v>6.8845070422535209E-2</v>
      </c>
      <c r="G33" s="36">
        <f t="shared" si="10"/>
        <v>7.5968154356190462E-2</v>
      </c>
      <c r="H33" s="36">
        <f t="shared" si="10"/>
        <v>7.3206916084481974E-2</v>
      </c>
      <c r="I33" s="1"/>
    </row>
    <row r="34" spans="2:9" ht="14.5" thickBot="1" x14ac:dyDescent="0.4">
      <c r="B34" s="176"/>
      <c r="C34" s="50" t="s">
        <v>26</v>
      </c>
      <c r="D34" s="36">
        <f t="shared" ref="D34:H34" si="11">D17/D$22</f>
        <v>0.11277660739866857</v>
      </c>
      <c r="E34" s="36">
        <f t="shared" si="11"/>
        <v>0.18041436506831299</v>
      </c>
      <c r="F34" s="36">
        <f t="shared" si="11"/>
        <v>0.1329718309859155</v>
      </c>
      <c r="G34" s="36">
        <f t="shared" si="11"/>
        <v>9.9674929218458858E-2</v>
      </c>
      <c r="H34" s="36">
        <f t="shared" si="11"/>
        <v>0</v>
      </c>
      <c r="I34" s="1"/>
    </row>
    <row r="35" spans="2:9" ht="14.5" thickBot="1" x14ac:dyDescent="0.4">
      <c r="B35" s="176"/>
      <c r="C35" s="48" t="s">
        <v>30</v>
      </c>
      <c r="D35" s="36">
        <f t="shared" ref="D35:H35" si="12">D18/D$22</f>
        <v>1.9593831633942866E-2</v>
      </c>
      <c r="E35" s="36">
        <f t="shared" si="12"/>
        <v>0</v>
      </c>
      <c r="F35" s="36">
        <f t="shared" si="12"/>
        <v>5.4084507042253521E-3</v>
      </c>
      <c r="G35" s="36">
        <f t="shared" si="12"/>
        <v>0</v>
      </c>
      <c r="H35" s="36">
        <f t="shared" si="12"/>
        <v>0.14644080597739595</v>
      </c>
      <c r="I35" s="1"/>
    </row>
    <row r="36" spans="2:9" ht="14.5" thickBot="1" x14ac:dyDescent="0.4">
      <c r="B36" s="176"/>
      <c r="C36" s="50" t="s">
        <v>28</v>
      </c>
      <c r="D36" s="36">
        <f t="shared" ref="D36:H36" si="13">D19/D$22</f>
        <v>0.11230808123367321</v>
      </c>
      <c r="E36" s="36">
        <f t="shared" si="13"/>
        <v>2.3766420647077936E-2</v>
      </c>
      <c r="F36" s="36">
        <f t="shared" si="13"/>
        <v>8.9309859154929574E-2</v>
      </c>
      <c r="G36" s="36">
        <f t="shared" si="13"/>
        <v>0.14827422099973381</v>
      </c>
      <c r="H36" s="36">
        <f t="shared" si="13"/>
        <v>0.19043508753000837</v>
      </c>
      <c r="I36" s="1"/>
    </row>
    <row r="37" spans="2:9" ht="14.5" thickBot="1" x14ac:dyDescent="0.4">
      <c r="B37" s="176"/>
      <c r="C37" s="50" t="s">
        <v>23</v>
      </c>
      <c r="D37" s="36">
        <f t="shared" ref="D37:H37" si="14">D20/D$22</f>
        <v>0.10728912109210416</v>
      </c>
      <c r="E37" s="36">
        <f t="shared" si="14"/>
        <v>0.13408841232264154</v>
      </c>
      <c r="F37" s="36">
        <f t="shared" si="14"/>
        <v>0.10356338028169014</v>
      </c>
      <c r="G37" s="36">
        <f t="shared" si="14"/>
        <v>0.10291757076137546</v>
      </c>
      <c r="H37" s="36">
        <f t="shared" si="14"/>
        <v>8.2324063334502193E-2</v>
      </c>
      <c r="I37" s="1"/>
    </row>
    <row r="38" spans="2:9" ht="14.5" thickBot="1" x14ac:dyDescent="0.4">
      <c r="B38" s="177"/>
      <c r="C38" s="48" t="s">
        <v>21</v>
      </c>
      <c r="D38" s="36">
        <f t="shared" ref="D38:H38" si="15">D21/D$22</f>
        <v>8.1078621387039695E-2</v>
      </c>
      <c r="E38" s="36">
        <f t="shared" si="15"/>
        <v>2.0532578254344024E-2</v>
      </c>
      <c r="F38" s="36">
        <f t="shared" si="15"/>
        <v>4.6239436619718313E-2</v>
      </c>
      <c r="G38" s="36">
        <f t="shared" si="15"/>
        <v>9.7779355182176758E-2</v>
      </c>
      <c r="H38" s="36">
        <f t="shared" si="15"/>
        <v>0.19750222533919565</v>
      </c>
      <c r="I38" s="1"/>
    </row>
    <row r="39" spans="2:9" x14ac:dyDescent="0.35">
      <c r="B39" s="196"/>
      <c r="C39" s="197"/>
      <c r="D39" s="198" cm="1">
        <f t="array" ref="D39">SQRT(SUMPRODUCT(D24:D38^2))</f>
        <v>0.30108022646849553</v>
      </c>
      <c r="E39" s="198" cm="1">
        <f t="array" ref="E39">SQRT(SUMPRODUCT(E24:E38^2))</f>
        <v>0.45472142135109367</v>
      </c>
      <c r="F39" s="198" cm="1">
        <f t="array" ref="F39">SQRT(SUMPRODUCT(F24:F38^2))</f>
        <v>0.32288156567891396</v>
      </c>
      <c r="G39" s="198" cm="1">
        <f t="array" ref="G39">SQRT(SUMPRODUCT(G24:G38^2))</f>
        <v>0.31095494246092514</v>
      </c>
      <c r="H39" s="198" cm="1">
        <f t="array" ref="H39">SQRT(SUMPRODUCT(H24:H38^2))</f>
        <v>0.35660976102507019</v>
      </c>
      <c r="I39" s="1"/>
    </row>
    <row r="40" spans="2:9" ht="14.5" thickBot="1" x14ac:dyDescent="0.4"/>
    <row r="41" spans="2:9" ht="14.5" thickBot="1" x14ac:dyDescent="0.4">
      <c r="B41" s="175" t="s">
        <v>0</v>
      </c>
      <c r="C41" s="48" t="s">
        <v>22</v>
      </c>
      <c r="D41" s="36">
        <f>D24/D$39</f>
        <v>0.21020347508997292</v>
      </c>
      <c r="E41" s="36">
        <f>E24/E$39</f>
        <v>0</v>
      </c>
      <c r="F41" s="36">
        <f t="shared" ref="E41:H41" si="16">F24/F$39</f>
        <v>0.49636654014859177</v>
      </c>
      <c r="G41" s="36">
        <f t="shared" si="16"/>
        <v>0.17522690030674987</v>
      </c>
      <c r="H41" s="36">
        <f t="shared" si="16"/>
        <v>4.8560602950334299E-2</v>
      </c>
    </row>
    <row r="42" spans="2:9" ht="14.5" thickBot="1" x14ac:dyDescent="0.4">
      <c r="B42" s="176"/>
      <c r="C42" s="48" t="s">
        <v>29</v>
      </c>
      <c r="D42" s="36">
        <f t="shared" ref="D42:H42" si="17">D25/D$39</f>
        <v>0.11104645661575636</v>
      </c>
      <c r="E42" s="36">
        <f t="shared" si="17"/>
        <v>0</v>
      </c>
      <c r="F42" s="36">
        <f t="shared" si="17"/>
        <v>0.10316432616674749</v>
      </c>
      <c r="G42" s="36">
        <f t="shared" si="17"/>
        <v>0.17125803047004629</v>
      </c>
      <c r="H42" s="36">
        <f t="shared" si="17"/>
        <v>7.2008869172458356E-2</v>
      </c>
    </row>
    <row r="43" spans="2:9" ht="14.5" thickBot="1" x14ac:dyDescent="0.4">
      <c r="B43" s="176"/>
      <c r="C43" s="144" t="s">
        <v>18</v>
      </c>
      <c r="D43" s="36">
        <f t="shared" ref="D43:H43" si="18">D26/D$39</f>
        <v>8.971935712457621E-2</v>
      </c>
      <c r="E43" s="36">
        <f t="shared" si="18"/>
        <v>0</v>
      </c>
      <c r="F43" s="36">
        <f t="shared" si="18"/>
        <v>0.13413543465655325</v>
      </c>
      <c r="G43" s="36">
        <f t="shared" si="18"/>
        <v>0.1218676502799572</v>
      </c>
      <c r="H43" s="36">
        <f t="shared" si="18"/>
        <v>1.8229135998489982E-2</v>
      </c>
    </row>
    <row r="44" spans="2:9" ht="14.5" thickBot="1" x14ac:dyDescent="0.4">
      <c r="B44" s="176"/>
      <c r="C44" s="50" t="s">
        <v>24</v>
      </c>
      <c r="D44" s="36">
        <f t="shared" ref="D44:H44" si="19">D27/D$39</f>
        <v>0.18976080649632726</v>
      </c>
      <c r="E44" s="36">
        <f t="shared" si="19"/>
        <v>8.6123028884252883E-2</v>
      </c>
      <c r="F44" s="36">
        <f t="shared" si="19"/>
        <v>0.18181349321902895</v>
      </c>
      <c r="G44" s="36">
        <f t="shared" si="19"/>
        <v>0.26591427905914028</v>
      </c>
      <c r="H44" s="36">
        <f t="shared" si="19"/>
        <v>0</v>
      </c>
    </row>
    <row r="45" spans="2:9" ht="14.5" thickBot="1" x14ac:dyDescent="0.4">
      <c r="B45" s="176"/>
      <c r="C45" s="50" t="s">
        <v>31</v>
      </c>
      <c r="D45" s="36">
        <f t="shared" ref="D45:H45" si="20">D28/D$39</f>
        <v>4.7815245105947715E-2</v>
      </c>
      <c r="E45" s="36">
        <f t="shared" si="20"/>
        <v>0</v>
      </c>
      <c r="F45" s="36">
        <f t="shared" si="20"/>
        <v>0</v>
      </c>
      <c r="G45" s="36">
        <f t="shared" si="20"/>
        <v>3.5071320387080059E-2</v>
      </c>
      <c r="H45" s="36">
        <f t="shared" si="20"/>
        <v>0.22079190033025833</v>
      </c>
    </row>
    <row r="46" spans="2:9" ht="14.5" thickBot="1" x14ac:dyDescent="0.4">
      <c r="B46" s="176"/>
      <c r="C46" s="48" t="s">
        <v>25</v>
      </c>
      <c r="D46" s="36">
        <f t="shared" ref="D46:H46" si="21">D29/D$39</f>
        <v>5.3603229587281122E-2</v>
      </c>
      <c r="E46" s="36">
        <f t="shared" si="21"/>
        <v>0</v>
      </c>
      <c r="F46" s="36">
        <f t="shared" si="21"/>
        <v>0</v>
      </c>
      <c r="G46" s="36">
        <f t="shared" si="21"/>
        <v>4.7626438040443045E-2</v>
      </c>
      <c r="H46" s="36">
        <f t="shared" si="21"/>
        <v>0.22328800608938765</v>
      </c>
    </row>
    <row r="47" spans="2:9" ht="14.5" thickBot="1" x14ac:dyDescent="0.4">
      <c r="B47" s="176"/>
      <c r="C47" s="48" t="s">
        <v>27</v>
      </c>
      <c r="D47" s="36">
        <f t="shared" ref="D47:H47" si="22">D30/D$39</f>
        <v>0.3788610886514579</v>
      </c>
      <c r="E47" s="36">
        <f t="shared" si="22"/>
        <v>0.19307074906726623</v>
      </c>
      <c r="F47" s="36">
        <f t="shared" si="22"/>
        <v>0.43167618255650447</v>
      </c>
      <c r="G47" s="36">
        <f t="shared" si="22"/>
        <v>0.44212691174363355</v>
      </c>
      <c r="H47" s="36">
        <f t="shared" si="22"/>
        <v>9.2809750498536125E-2</v>
      </c>
    </row>
    <row r="48" spans="2:9" ht="14.5" thickBot="1" x14ac:dyDescent="0.4">
      <c r="B48" s="176"/>
      <c r="C48" s="50" t="s">
        <v>20</v>
      </c>
      <c r="D48" s="36">
        <f t="shared" ref="D48:H48" si="23">D31/D$39</f>
        <v>0.11964446837912977</v>
      </c>
      <c r="E48" s="36">
        <f t="shared" si="23"/>
        <v>1.8374727616553361E-2</v>
      </c>
      <c r="F48" s="36">
        <f t="shared" si="23"/>
        <v>0.29051772189029096</v>
      </c>
      <c r="G48" s="36">
        <f t="shared" si="23"/>
        <v>3.2788571722832248E-2</v>
      </c>
      <c r="H48" s="36">
        <f t="shared" si="23"/>
        <v>0.16814676068316692</v>
      </c>
    </row>
    <row r="49" spans="2:8" ht="14.5" thickBot="1" x14ac:dyDescent="0.4">
      <c r="B49" s="176"/>
      <c r="C49" s="48" t="s">
        <v>19</v>
      </c>
      <c r="D49" s="36">
        <f t="shared" ref="D49:H49" si="24">D32/D$39</f>
        <v>0.24024053962269543</v>
      </c>
      <c r="E49" s="36">
        <f t="shared" si="24"/>
        <v>0.34772470650659032</v>
      </c>
      <c r="F49" s="36">
        <f t="shared" si="24"/>
        <v>7.7078800988009635E-2</v>
      </c>
      <c r="G49" s="36">
        <f t="shared" si="24"/>
        <v>0.23691299489290102</v>
      </c>
      <c r="H49" s="36">
        <f t="shared" si="24"/>
        <v>2.5717453275877978E-2</v>
      </c>
    </row>
    <row r="50" spans="2:8" ht="14.5" thickBot="1" x14ac:dyDescent="0.4">
      <c r="B50" s="176"/>
      <c r="C50" s="50" t="s">
        <v>32</v>
      </c>
      <c r="D50" s="36">
        <f t="shared" ref="D50:H50" si="25">D33/D$39</f>
        <v>0.44217066745598482</v>
      </c>
      <c r="E50" s="36">
        <f t="shared" si="25"/>
        <v>0.76479699612898766</v>
      </c>
      <c r="F50" s="36">
        <f t="shared" si="25"/>
        <v>0.21322081450446581</v>
      </c>
      <c r="G50" s="36">
        <f t="shared" si="25"/>
        <v>0.24430598772597636</v>
      </c>
      <c r="H50" s="36">
        <f t="shared" si="25"/>
        <v>0.20528578879627307</v>
      </c>
    </row>
    <row r="51" spans="2:8" ht="14.5" thickBot="1" x14ac:dyDescent="0.4">
      <c r="B51" s="176"/>
      <c r="C51" s="50" t="s">
        <v>26</v>
      </c>
      <c r="D51" s="36">
        <f t="shared" ref="D51:H51" si="26">D34/D$39</f>
        <v>0.37457327809758806</v>
      </c>
      <c r="E51" s="36">
        <f t="shared" si="26"/>
        <v>0.39675800742409661</v>
      </c>
      <c r="F51" s="36">
        <f t="shared" si="26"/>
        <v>0.41182850035529089</v>
      </c>
      <c r="G51" s="36">
        <f t="shared" si="26"/>
        <v>0.32054460504670734</v>
      </c>
      <c r="H51" s="36">
        <f t="shared" si="26"/>
        <v>0</v>
      </c>
    </row>
    <row r="52" spans="2:8" ht="14.5" thickBot="1" x14ac:dyDescent="0.4">
      <c r="B52" s="176"/>
      <c r="C52" s="48" t="s">
        <v>30</v>
      </c>
      <c r="D52" s="36">
        <f t="shared" ref="D52:H52" si="27">D35/D$39</f>
        <v>6.5078440599595902E-2</v>
      </c>
      <c r="E52" s="36">
        <f t="shared" si="27"/>
        <v>0</v>
      </c>
      <c r="F52" s="36">
        <f t="shared" si="27"/>
        <v>1.6750571352232995E-2</v>
      </c>
      <c r="G52" s="36">
        <f t="shared" si="27"/>
        <v>0</v>
      </c>
      <c r="H52" s="36">
        <f t="shared" si="27"/>
        <v>0.41064721716100461</v>
      </c>
    </row>
    <row r="53" spans="2:8" ht="14.5" thickBot="1" x14ac:dyDescent="0.4">
      <c r="B53" s="176"/>
      <c r="C53" s="50" t="s">
        <v>28</v>
      </c>
      <c r="D53" s="36">
        <f t="shared" ref="D53:H53" si="28">D36/D$39</f>
        <v>0.37301712753104005</v>
      </c>
      <c r="E53" s="36">
        <f t="shared" si="28"/>
        <v>5.2265891887085109E-2</v>
      </c>
      <c r="F53" s="36">
        <f t="shared" si="28"/>
        <v>0.27660253370965993</v>
      </c>
      <c r="G53" s="36">
        <f t="shared" si="28"/>
        <v>0.47683506757049238</v>
      </c>
      <c r="H53" s="36">
        <f t="shared" si="28"/>
        <v>0.53401535331676042</v>
      </c>
    </row>
    <row r="54" spans="2:8" ht="14.5" thickBot="1" x14ac:dyDescent="0.4">
      <c r="B54" s="176"/>
      <c r="C54" s="50" t="s">
        <v>23</v>
      </c>
      <c r="D54" s="36">
        <f t="shared" ref="D54:H54" si="29">D37/D$39</f>
        <v>0.35634728441168717</v>
      </c>
      <c r="E54" s="36">
        <f t="shared" si="29"/>
        <v>0.29488035097231746</v>
      </c>
      <c r="F54" s="36">
        <f t="shared" si="29"/>
        <v>0.32074726862752395</v>
      </c>
      <c r="G54" s="36">
        <f t="shared" si="29"/>
        <v>0.33097261599020306</v>
      </c>
      <c r="H54" s="36">
        <f t="shared" si="29"/>
        <v>0.23085196293523411</v>
      </c>
    </row>
    <row r="55" spans="2:8" ht="14.5" thickBot="1" x14ac:dyDescent="0.4">
      <c r="B55" s="177"/>
      <c r="C55" s="48" t="s">
        <v>21</v>
      </c>
      <c r="D55" s="36">
        <f t="shared" ref="D55:H55" si="30">D38/D$39</f>
        <v>0.26929241530753134</v>
      </c>
      <c r="E55" s="36">
        <f t="shared" si="30"/>
        <v>4.5154191754011683E-2</v>
      </c>
      <c r="F55" s="36">
        <f t="shared" si="30"/>
        <v>0.14320866080567948</v>
      </c>
      <c r="G55" s="36">
        <f t="shared" si="30"/>
        <v>0.31444862850013644</v>
      </c>
      <c r="H55" s="36">
        <f t="shared" si="30"/>
        <v>0.55383292025287822</v>
      </c>
    </row>
    <row r="56" spans="2:8" ht="14.5" thickBot="1" x14ac:dyDescent="0.4"/>
    <row r="57" spans="2:8" ht="14.5" thickBot="1" x14ac:dyDescent="0.4">
      <c r="B57" s="175" t="s">
        <v>0</v>
      </c>
      <c r="C57" s="48" t="s">
        <v>22</v>
      </c>
      <c r="D57" s="36">
        <f>D41*D$6</f>
        <v>0.10510173754498646</v>
      </c>
      <c r="E57" s="28">
        <f t="shared" ref="E57:H57" si="31">E41*E$6</f>
        <v>0</v>
      </c>
      <c r="F57" s="28">
        <f t="shared" si="31"/>
        <v>7.4454981022288771E-2</v>
      </c>
      <c r="G57" s="28">
        <f t="shared" si="31"/>
        <v>1.7522690030674987E-2</v>
      </c>
      <c r="H57" s="29">
        <f t="shared" si="31"/>
        <v>2.4280301475167153E-3</v>
      </c>
    </row>
    <row r="58" spans="2:8" ht="14.5" thickBot="1" x14ac:dyDescent="0.4">
      <c r="B58" s="176"/>
      <c r="C58" s="48" t="s">
        <v>29</v>
      </c>
      <c r="D58" s="56">
        <f t="shared" ref="D58:H71" si="32">D42*D$6</f>
        <v>5.5523228307878182E-2</v>
      </c>
      <c r="E58" s="26">
        <f t="shared" si="32"/>
        <v>0</v>
      </c>
      <c r="F58" s="26">
        <f t="shared" si="32"/>
        <v>1.5474648925012126E-2</v>
      </c>
      <c r="G58" s="26">
        <f t="shared" si="32"/>
        <v>1.7125803047004628E-2</v>
      </c>
      <c r="H58" s="27">
        <f t="shared" si="32"/>
        <v>3.6004434586229179E-3</v>
      </c>
    </row>
    <row r="59" spans="2:8" ht="14.5" thickBot="1" x14ac:dyDescent="0.4">
      <c r="B59" s="176"/>
      <c r="C59" s="144" t="s">
        <v>18</v>
      </c>
      <c r="D59" s="56">
        <f t="shared" si="32"/>
        <v>4.4859678562288105E-2</v>
      </c>
      <c r="E59" s="26">
        <f t="shared" si="32"/>
        <v>0</v>
      </c>
      <c r="F59" s="26">
        <f t="shared" si="32"/>
        <v>2.012031519848299E-2</v>
      </c>
      <c r="G59" s="26">
        <f t="shared" si="32"/>
        <v>1.2186765027995721E-2</v>
      </c>
      <c r="H59" s="27">
        <f t="shared" si="32"/>
        <v>9.1145679992449919E-4</v>
      </c>
    </row>
    <row r="60" spans="2:8" ht="14.5" thickBot="1" x14ac:dyDescent="0.4">
      <c r="B60" s="176"/>
      <c r="C60" s="50" t="s">
        <v>24</v>
      </c>
      <c r="D60" s="56">
        <f t="shared" si="32"/>
        <v>9.4880403248163631E-2</v>
      </c>
      <c r="E60" s="26">
        <f t="shared" si="32"/>
        <v>1.7224605776850577E-2</v>
      </c>
      <c r="F60" s="26">
        <f t="shared" si="32"/>
        <v>2.7272023982854346E-2</v>
      </c>
      <c r="G60" s="26">
        <f t="shared" si="32"/>
        <v>2.6591427905914029E-2</v>
      </c>
      <c r="H60" s="27">
        <f t="shared" si="32"/>
        <v>0</v>
      </c>
    </row>
    <row r="61" spans="2:8" ht="14.5" thickBot="1" x14ac:dyDescent="0.4">
      <c r="B61" s="176"/>
      <c r="C61" s="50" t="s">
        <v>31</v>
      </c>
      <c r="D61" s="56">
        <f t="shared" si="32"/>
        <v>2.3907622552973858E-2</v>
      </c>
      <c r="E61" s="26">
        <f t="shared" si="32"/>
        <v>0</v>
      </c>
      <c r="F61" s="26">
        <f t="shared" si="32"/>
        <v>0</v>
      </c>
      <c r="G61" s="26">
        <f t="shared" si="32"/>
        <v>3.507132038708006E-3</v>
      </c>
      <c r="H61" s="27">
        <f t="shared" si="32"/>
        <v>1.1039595016512917E-2</v>
      </c>
    </row>
    <row r="62" spans="2:8" ht="14.5" thickBot="1" x14ac:dyDescent="0.4">
      <c r="B62" s="176"/>
      <c r="C62" s="48" t="s">
        <v>25</v>
      </c>
      <c r="D62" s="56">
        <f t="shared" si="32"/>
        <v>2.6801614793640561E-2</v>
      </c>
      <c r="E62" s="26">
        <f t="shared" si="32"/>
        <v>0</v>
      </c>
      <c r="F62" s="26">
        <f t="shared" si="32"/>
        <v>0</v>
      </c>
      <c r="G62" s="26">
        <f t="shared" si="32"/>
        <v>4.7626438040443047E-3</v>
      </c>
      <c r="H62" s="27">
        <f t="shared" si="32"/>
        <v>1.1164400304469383E-2</v>
      </c>
    </row>
    <row r="63" spans="2:8" ht="14.5" thickBot="1" x14ac:dyDescent="0.4">
      <c r="B63" s="176"/>
      <c r="C63" s="48" t="s">
        <v>27</v>
      </c>
      <c r="D63" s="56">
        <f t="shared" si="32"/>
        <v>0.18943054432572895</v>
      </c>
      <c r="E63" s="26">
        <f t="shared" si="32"/>
        <v>3.861414981345325E-2</v>
      </c>
      <c r="F63" s="26">
        <f t="shared" si="32"/>
        <v>6.4751427383475682E-2</v>
      </c>
      <c r="G63" s="26">
        <f t="shared" si="32"/>
        <v>4.4212691174363355E-2</v>
      </c>
      <c r="H63" s="27">
        <f t="shared" si="32"/>
        <v>4.6404875249268064E-3</v>
      </c>
    </row>
    <row r="64" spans="2:8" ht="14.5" thickBot="1" x14ac:dyDescent="0.4">
      <c r="B64" s="176"/>
      <c r="C64" s="50" t="s">
        <v>20</v>
      </c>
      <c r="D64" s="56">
        <f t="shared" si="32"/>
        <v>5.9822234189564887E-2</v>
      </c>
      <c r="E64" s="26">
        <f t="shared" si="32"/>
        <v>3.6749455233106723E-3</v>
      </c>
      <c r="F64" s="26">
        <f t="shared" si="32"/>
        <v>4.3577658283543652E-2</v>
      </c>
      <c r="G64" s="26">
        <f t="shared" si="32"/>
        <v>3.2788571722832251E-3</v>
      </c>
      <c r="H64" s="27">
        <f t="shared" si="32"/>
        <v>8.4073380341583466E-3</v>
      </c>
    </row>
    <row r="65" spans="2:15" ht="14.5" thickBot="1" x14ac:dyDescent="0.4">
      <c r="B65" s="176"/>
      <c r="C65" s="48" t="s">
        <v>19</v>
      </c>
      <c r="D65" s="56">
        <f t="shared" si="32"/>
        <v>0.12012026981134771</v>
      </c>
      <c r="E65" s="26">
        <f t="shared" si="32"/>
        <v>6.9544941301318067E-2</v>
      </c>
      <c r="F65" s="26">
        <f t="shared" si="32"/>
        <v>1.1561820148201446E-2</v>
      </c>
      <c r="G65" s="26">
        <f t="shared" si="32"/>
        <v>2.3691299489290104E-2</v>
      </c>
      <c r="H65" s="27">
        <f t="shared" si="32"/>
        <v>1.2858726637938989E-3</v>
      </c>
    </row>
    <row r="66" spans="2:15" ht="14.5" thickBot="1" x14ac:dyDescent="0.4">
      <c r="B66" s="176"/>
      <c r="C66" s="50" t="s">
        <v>32</v>
      </c>
      <c r="D66" s="56">
        <f t="shared" si="32"/>
        <v>0.22108533372799241</v>
      </c>
      <c r="E66" s="26">
        <f t="shared" si="32"/>
        <v>0.15295939922579754</v>
      </c>
      <c r="F66" s="26">
        <f t="shared" si="32"/>
        <v>3.1983122175669877E-2</v>
      </c>
      <c r="G66" s="26">
        <f t="shared" si="32"/>
        <v>2.4430598772597636E-2</v>
      </c>
      <c r="H66" s="27">
        <f t="shared" si="32"/>
        <v>1.0264289439813654E-2</v>
      </c>
    </row>
    <row r="67" spans="2:15" ht="14.5" thickBot="1" x14ac:dyDescent="0.4">
      <c r="B67" s="176"/>
      <c r="C67" s="50" t="s">
        <v>26</v>
      </c>
      <c r="D67" s="56">
        <f t="shared" si="32"/>
        <v>0.18728663904879403</v>
      </c>
      <c r="E67" s="26">
        <f t="shared" si="32"/>
        <v>7.9351601484819331E-2</v>
      </c>
      <c r="F67" s="26">
        <f t="shared" si="32"/>
        <v>6.1774275053293644E-2</v>
      </c>
      <c r="G67" s="26">
        <f t="shared" si="32"/>
        <v>3.2054460504670736E-2</v>
      </c>
      <c r="H67" s="27">
        <f t="shared" si="32"/>
        <v>0</v>
      </c>
    </row>
    <row r="68" spans="2:15" ht="14.5" thickBot="1" x14ac:dyDescent="0.4">
      <c r="B68" s="176"/>
      <c r="C68" s="48" t="s">
        <v>30</v>
      </c>
      <c r="D68" s="56">
        <f t="shared" si="32"/>
        <v>3.2539220299797951E-2</v>
      </c>
      <c r="E68" s="26">
        <f t="shared" si="32"/>
        <v>0</v>
      </c>
      <c r="F68" s="26">
        <f t="shared" si="32"/>
        <v>2.5125857028349494E-3</v>
      </c>
      <c r="G68" s="26">
        <f t="shared" si="32"/>
        <v>0</v>
      </c>
      <c r="H68" s="27">
        <f t="shared" si="32"/>
        <v>2.0532360858050231E-2</v>
      </c>
    </row>
    <row r="69" spans="2:15" ht="14.5" thickBot="1" x14ac:dyDescent="0.4">
      <c r="B69" s="176"/>
      <c r="C69" s="50" t="s">
        <v>28</v>
      </c>
      <c r="D69" s="56">
        <f t="shared" si="32"/>
        <v>0.18650856376552002</v>
      </c>
      <c r="E69" s="26">
        <f t="shared" si="32"/>
        <v>1.0453178377417022E-2</v>
      </c>
      <c r="F69" s="26">
        <f t="shared" si="32"/>
        <v>4.1490380056448992E-2</v>
      </c>
      <c r="G69" s="26">
        <f t="shared" si="32"/>
        <v>4.7683506757049243E-2</v>
      </c>
      <c r="H69" s="27">
        <f t="shared" si="32"/>
        <v>2.6700767665838024E-2</v>
      </c>
    </row>
    <row r="70" spans="2:15" ht="14.5" thickBot="1" x14ac:dyDescent="0.4">
      <c r="B70" s="176"/>
      <c r="C70" s="50" t="s">
        <v>23</v>
      </c>
      <c r="D70" s="56">
        <f t="shared" si="32"/>
        <v>0.17817364220584359</v>
      </c>
      <c r="E70" s="26">
        <f t="shared" si="32"/>
        <v>5.8976070194463492E-2</v>
      </c>
      <c r="F70" s="26">
        <f t="shared" si="32"/>
        <v>4.81120902941286E-2</v>
      </c>
      <c r="G70" s="26">
        <f t="shared" si="32"/>
        <v>3.3097261599020308E-2</v>
      </c>
      <c r="H70" s="27">
        <f t="shared" si="32"/>
        <v>1.1542598146761706E-2</v>
      </c>
    </row>
    <row r="71" spans="2:15" ht="14.5" thickBot="1" x14ac:dyDescent="0.4">
      <c r="B71" s="177"/>
      <c r="C71" s="48" t="s">
        <v>21</v>
      </c>
      <c r="D71" s="140">
        <f t="shared" si="32"/>
        <v>0.13464620765376567</v>
      </c>
      <c r="E71" s="141">
        <f t="shared" si="32"/>
        <v>9.0308383508023362E-3</v>
      </c>
      <c r="F71" s="141">
        <f t="shared" si="32"/>
        <v>2.1481299120851925E-2</v>
      </c>
      <c r="G71" s="141">
        <f t="shared" si="32"/>
        <v>3.1444862850013647E-2</v>
      </c>
      <c r="H71" s="142">
        <f t="shared" si="32"/>
        <v>2.7691646012643914E-2</v>
      </c>
    </row>
    <row r="72" spans="2:15" ht="14.5" thickBot="1" x14ac:dyDescent="0.4">
      <c r="C72" s="49" t="s">
        <v>54</v>
      </c>
      <c r="D72" s="145">
        <f>MAX(D57:D71)</f>
        <v>0.22108533372799241</v>
      </c>
      <c r="E72" s="146">
        <f t="shared" ref="E72:H72" si="33">MAX(E57:E71)</f>
        <v>0.15295939922579754</v>
      </c>
      <c r="F72" s="146">
        <f t="shared" si="33"/>
        <v>7.4454981022288771E-2</v>
      </c>
      <c r="G72" s="146">
        <f t="shared" si="33"/>
        <v>4.7683506757049243E-2</v>
      </c>
      <c r="H72" s="147">
        <f t="shared" si="33"/>
        <v>2.7691646012643914E-2</v>
      </c>
    </row>
    <row r="73" spans="2:15" ht="14.5" thickBot="1" x14ac:dyDescent="0.4">
      <c r="C73" s="156" t="s">
        <v>55</v>
      </c>
      <c r="D73" s="148">
        <f>MIN(D57:D71)</f>
        <v>2.3907622552973858E-2</v>
      </c>
      <c r="E73" s="149">
        <f t="shared" ref="E73:H73" si="34">MIN(E57:E71)</f>
        <v>0</v>
      </c>
      <c r="F73" s="149">
        <f t="shared" si="34"/>
        <v>0</v>
      </c>
      <c r="G73" s="149">
        <f t="shared" si="34"/>
        <v>0</v>
      </c>
      <c r="H73" s="150">
        <f t="shared" si="34"/>
        <v>0</v>
      </c>
    </row>
    <row r="74" spans="2:15" ht="14.5" thickBot="1" x14ac:dyDescent="0.4">
      <c r="D74" s="134"/>
      <c r="E74" s="134"/>
      <c r="F74" s="134"/>
      <c r="G74" s="134"/>
      <c r="H74" s="134"/>
    </row>
    <row r="75" spans="2:15" ht="15" customHeight="1" thickBot="1" x14ac:dyDescent="0.4">
      <c r="D75" s="169" t="s">
        <v>57</v>
      </c>
      <c r="E75" s="170"/>
      <c r="F75" s="170"/>
      <c r="G75" s="170"/>
      <c r="H75" s="171"/>
      <c r="I75" s="155" t="s">
        <v>56</v>
      </c>
      <c r="J75" s="172" t="s">
        <v>58</v>
      </c>
      <c r="K75" s="173"/>
      <c r="L75" s="173"/>
      <c r="M75" s="173"/>
      <c r="N75" s="174"/>
      <c r="O75" s="155" t="s">
        <v>56</v>
      </c>
    </row>
    <row r="76" spans="2:15" ht="14.5" thickBot="1" x14ac:dyDescent="0.4">
      <c r="B76" s="175" t="s">
        <v>0</v>
      </c>
      <c r="C76" s="48" t="s">
        <v>22</v>
      </c>
      <c r="D76" s="227">
        <f>(D57-D$72)^2</f>
        <v>1.3452194583542593E-2</v>
      </c>
      <c r="E76" s="28">
        <f t="shared" ref="E76:H76" si="35">(E57-E$72)^2</f>
        <v>2.3396577811516914E-2</v>
      </c>
      <c r="F76" s="28">
        <f t="shared" si="35"/>
        <v>0</v>
      </c>
      <c r="G76" s="28">
        <f t="shared" si="35"/>
        <v>9.096748656019371E-4</v>
      </c>
      <c r="H76" s="157">
        <f t="shared" si="35"/>
        <v>6.3825028658070669E-4</v>
      </c>
      <c r="I76" s="160">
        <f>SQRT(SUM(D76:H76))</f>
        <v>0.19595075286214683</v>
      </c>
      <c r="J76" s="36">
        <f>(D57-D$73)^2</f>
        <v>6.5924843093361643E-3</v>
      </c>
      <c r="K76" s="28">
        <f t="shared" ref="K76:N90" si="36">(E57-E$73)^2</f>
        <v>0</v>
      </c>
      <c r="L76" s="28">
        <f t="shared" si="36"/>
        <v>5.5435441990293807E-3</v>
      </c>
      <c r="M76" s="28">
        <f t="shared" si="36"/>
        <v>3.0704466591111658E-4</v>
      </c>
      <c r="N76" s="157">
        <f t="shared" si="36"/>
        <v>5.8953303972500418E-6</v>
      </c>
      <c r="O76" s="125">
        <f>SQRT(SUM(J76:N76))</f>
        <v>0.11157494568528327</v>
      </c>
    </row>
    <row r="77" spans="2:15" ht="14.5" thickBot="1" x14ac:dyDescent="0.4">
      <c r="B77" s="176"/>
      <c r="C77" s="48" t="s">
        <v>29</v>
      </c>
      <c r="D77" s="56">
        <f t="shared" ref="D77:H90" si="37">(D58-D$72)^2</f>
        <v>2.7410810751141018E-2</v>
      </c>
      <c r="E77" s="26">
        <f t="shared" si="37"/>
        <v>2.3396577811516914E-2</v>
      </c>
      <c r="F77" s="26">
        <f t="shared" si="37"/>
        <v>3.4786795743050412E-3</v>
      </c>
      <c r="G77" s="26">
        <f>(G58-G$72)^2</f>
        <v>9.337732560308745E-4</v>
      </c>
      <c r="H77" s="158">
        <f t="shared" si="37"/>
        <v>5.8038604049886772E-4</v>
      </c>
      <c r="I77" s="53">
        <f t="shared" ref="I77:I90" si="38">SQRT(SUM(D77:H77))</f>
        <v>0.23622071762123811</v>
      </c>
      <c r="J77" s="56">
        <f t="shared" ref="J77:J90" si="39">(D58-D$73)^2</f>
        <v>9.9954652724953941E-4</v>
      </c>
      <c r="K77" s="26">
        <f t="shared" si="36"/>
        <v>0</v>
      </c>
      <c r="L77" s="26">
        <f t="shared" si="36"/>
        <v>2.3946475935237896E-4</v>
      </c>
      <c r="M77" s="26">
        <f t="shared" si="36"/>
        <v>2.9329313000479298E-4</v>
      </c>
      <c r="N77" s="158">
        <f t="shared" si="36"/>
        <v>1.2963193098740559E-5</v>
      </c>
      <c r="O77" s="151">
        <f t="shared" ref="O77:O90" si="40">SQRT(SUM(J77:N77))</f>
        <v>3.9309892008315819E-2</v>
      </c>
    </row>
    <row r="78" spans="2:15" ht="14.5" thickBot="1" x14ac:dyDescent="0.4">
      <c r="B78" s="176"/>
      <c r="C78" s="144" t="s">
        <v>18</v>
      </c>
      <c r="D78" s="56">
        <f t="shared" si="37"/>
        <v>3.1055481538581731E-2</v>
      </c>
      <c r="E78" s="26">
        <f t="shared" si="37"/>
        <v>2.3396577811516914E-2</v>
      </c>
      <c r="F78" s="26">
        <f t="shared" si="37"/>
        <v>2.9522559101846477E-3</v>
      </c>
      <c r="G78" s="26">
        <f t="shared" si="37"/>
        <v>1.2600186733791297E-3</v>
      </c>
      <c r="H78" s="158">
        <f t="shared" si="37"/>
        <v>7.1717853426905333E-4</v>
      </c>
      <c r="I78" s="53">
        <f t="shared" si="38"/>
        <v>0.24368322155604286</v>
      </c>
      <c r="J78" s="56">
        <f t="shared" si="39"/>
        <v>4.3898865101744126E-4</v>
      </c>
      <c r="K78" s="26">
        <f t="shared" si="36"/>
        <v>0</v>
      </c>
      <c r="L78" s="26">
        <f t="shared" si="36"/>
        <v>4.0482708368630563E-4</v>
      </c>
      <c r="M78" s="26">
        <f t="shared" si="36"/>
        <v>1.4851724184757953E-4</v>
      </c>
      <c r="N78" s="158">
        <f t="shared" si="36"/>
        <v>8.3075349812860854E-7</v>
      </c>
      <c r="O78" s="151">
        <f t="shared" si="40"/>
        <v>3.1514500314132457E-2</v>
      </c>
    </row>
    <row r="79" spans="2:15" ht="14.5" thickBot="1" x14ac:dyDescent="0.4">
      <c r="B79" s="176"/>
      <c r="C79" s="50" t="s">
        <v>24</v>
      </c>
      <c r="D79" s="56">
        <f t="shared" si="37"/>
        <v>1.5927684477418415E-2</v>
      </c>
      <c r="E79" s="26">
        <f t="shared" si="37"/>
        <v>1.8423934152628295E-2</v>
      </c>
      <c r="F79" s="26">
        <f t="shared" si="37"/>
        <v>2.2262314349851147E-3</v>
      </c>
      <c r="G79" s="26">
        <f t="shared" si="37"/>
        <v>4.448757902625054E-4</v>
      </c>
      <c r="H79" s="158">
        <f t="shared" si="37"/>
        <v>7.6682725888957762E-4</v>
      </c>
      <c r="I79" s="53">
        <f t="shared" si="38"/>
        <v>0.19439535260438687</v>
      </c>
      <c r="J79" s="56">
        <f t="shared" si="39"/>
        <v>5.0371355996075033E-3</v>
      </c>
      <c r="K79" s="26">
        <f t="shared" si="36"/>
        <v>2.9668704416791429E-4</v>
      </c>
      <c r="L79" s="26">
        <f t="shared" si="36"/>
        <v>7.4376329212138257E-4</v>
      </c>
      <c r="M79" s="26">
        <f t="shared" si="36"/>
        <v>7.0710403807542331E-4</v>
      </c>
      <c r="N79" s="158">
        <f t="shared" si="36"/>
        <v>0</v>
      </c>
      <c r="O79" s="151">
        <f t="shared" si="40"/>
        <v>8.2369229533680977E-2</v>
      </c>
    </row>
    <row r="80" spans="2:15" ht="14.5" thickBot="1" x14ac:dyDescent="0.4">
      <c r="B80" s="176"/>
      <c r="C80" s="50" t="s">
        <v>31</v>
      </c>
      <c r="D80" s="56">
        <f t="shared" si="37"/>
        <v>3.8879049784219043E-2</v>
      </c>
      <c r="E80" s="26">
        <f t="shared" si="37"/>
        <v>2.3396577811516914E-2</v>
      </c>
      <c r="F80" s="26">
        <f t="shared" si="37"/>
        <v>5.5435441990293807E-3</v>
      </c>
      <c r="G80" s="26">
        <f t="shared" si="37"/>
        <v>1.951552083255299E-3</v>
      </c>
      <c r="H80" s="158">
        <f t="shared" si="37"/>
        <v>2.7729080237774738E-4</v>
      </c>
      <c r="I80" s="53">
        <f t="shared" si="38"/>
        <v>0.26466585476860893</v>
      </c>
      <c r="J80" s="56">
        <f t="shared" si="39"/>
        <v>0</v>
      </c>
      <c r="K80" s="26">
        <f t="shared" si="36"/>
        <v>0</v>
      </c>
      <c r="L80" s="26">
        <f t="shared" si="36"/>
        <v>0</v>
      </c>
      <c r="M80" s="26">
        <f t="shared" si="36"/>
        <v>1.2299975136932175E-5</v>
      </c>
      <c r="N80" s="158">
        <f t="shared" si="36"/>
        <v>1.2187265812861683E-4</v>
      </c>
      <c r="O80" s="151">
        <f t="shared" si="40"/>
        <v>1.1583291124095474E-2</v>
      </c>
    </row>
    <row r="81" spans="2:15" ht="14.5" thickBot="1" x14ac:dyDescent="0.4">
      <c r="B81" s="176"/>
      <c r="C81" s="48" t="s">
        <v>25</v>
      </c>
      <c r="D81" s="56">
        <f t="shared" si="37"/>
        <v>3.7746163442962222E-2</v>
      </c>
      <c r="E81" s="26">
        <f t="shared" si="37"/>
        <v>2.3396577811516914E-2</v>
      </c>
      <c r="F81" s="26">
        <f t="shared" si="37"/>
        <v>5.5435441990293807E-3</v>
      </c>
      <c r="G81" s="26">
        <f t="shared" si="37"/>
        <v>1.8422004766306317E-3</v>
      </c>
      <c r="H81" s="158">
        <f t="shared" si="37"/>
        <v>2.7314985069837338E-4</v>
      </c>
      <c r="I81" s="53">
        <f t="shared" si="38"/>
        <v>0.26230065913153461</v>
      </c>
      <c r="J81" s="56">
        <f t="shared" si="39"/>
        <v>8.3751910890390864E-6</v>
      </c>
      <c r="K81" s="26">
        <f t="shared" si="36"/>
        <v>0</v>
      </c>
      <c r="L81" s="26">
        <f t="shared" si="36"/>
        <v>0</v>
      </c>
      <c r="M81" s="26">
        <f t="shared" si="36"/>
        <v>2.2682776004201605E-5</v>
      </c>
      <c r="N81" s="158">
        <f t="shared" si="36"/>
        <v>1.2464383415843606E-4</v>
      </c>
      <c r="O81" s="151">
        <f t="shared" si="40"/>
        <v>1.247805278285345E-2</v>
      </c>
    </row>
    <row r="82" spans="2:15" ht="14.5" thickBot="1" x14ac:dyDescent="0.4">
      <c r="B82" s="176"/>
      <c r="C82" s="48" t="s">
        <v>27</v>
      </c>
      <c r="D82" s="56">
        <f t="shared" si="37"/>
        <v>1.0020256921016511E-3</v>
      </c>
      <c r="E82" s="26">
        <f t="shared" si="37"/>
        <v>1.3074836063171223E-2</v>
      </c>
      <c r="F82" s="26">
        <f t="shared" si="37"/>
        <v>9.4158953221322745E-5</v>
      </c>
      <c r="G82" s="26">
        <f t="shared" si="37"/>
        <v>1.2046560809015179E-5</v>
      </c>
      <c r="H82" s="158">
        <f t="shared" si="37"/>
        <v>5.3135590762585247E-4</v>
      </c>
      <c r="I82" s="53">
        <f t="shared" si="38"/>
        <v>0.12130302212611631</v>
      </c>
      <c r="J82" s="56">
        <f t="shared" si="39"/>
        <v>2.7397837632189604E-2</v>
      </c>
      <c r="K82" s="26">
        <f t="shared" si="36"/>
        <v>1.4910525658158116E-3</v>
      </c>
      <c r="L82" s="26">
        <f t="shared" si="36"/>
        <v>4.1927473481975248E-3</v>
      </c>
      <c r="M82" s="26">
        <f t="shared" si="36"/>
        <v>1.9547620608796274E-3</v>
      </c>
      <c r="N82" s="158">
        <f t="shared" si="36"/>
        <v>2.153412446900132E-5</v>
      </c>
      <c r="O82" s="151">
        <f t="shared" si="40"/>
        <v>0.18723763972970703</v>
      </c>
    </row>
    <row r="83" spans="2:15" ht="14.5" thickBot="1" x14ac:dyDescent="0.4">
      <c r="B83" s="176"/>
      <c r="C83" s="50" t="s">
        <v>20</v>
      </c>
      <c r="D83" s="56">
        <f t="shared" si="37"/>
        <v>2.600578727274078E-2</v>
      </c>
      <c r="E83" s="26">
        <f t="shared" si="37"/>
        <v>2.2285848117249943E-2</v>
      </c>
      <c r="F83" s="26">
        <f t="shared" si="37"/>
        <v>9.5340905951262639E-4</v>
      </c>
      <c r="G83" s="26">
        <f t="shared" si="37"/>
        <v>1.9717729047458608E-3</v>
      </c>
      <c r="H83" s="158">
        <f t="shared" si="37"/>
        <v>3.7188453420908209E-4</v>
      </c>
      <c r="I83" s="53">
        <f t="shared" si="38"/>
        <v>0.22713146388921612</v>
      </c>
      <c r="J83" s="56">
        <f t="shared" si="39"/>
        <v>1.2898593290071598E-3</v>
      </c>
      <c r="K83" s="26">
        <f t="shared" si="36"/>
        <v>1.3505224599301151E-5</v>
      </c>
      <c r="L83" s="26">
        <f t="shared" si="36"/>
        <v>1.8990123014773006E-3</v>
      </c>
      <c r="M83" s="26">
        <f t="shared" si="36"/>
        <v>1.0750904356233147E-5</v>
      </c>
      <c r="N83" s="158">
        <f t="shared" si="36"/>
        <v>7.0683332820605535E-5</v>
      </c>
      <c r="O83" s="151">
        <f t="shared" si="40"/>
        <v>5.7304546872482987E-2</v>
      </c>
    </row>
    <row r="84" spans="2:15" ht="14.5" thickBot="1" x14ac:dyDescent="0.4">
      <c r="B84" s="176"/>
      <c r="C84" s="48" t="s">
        <v>19</v>
      </c>
      <c r="D84" s="56">
        <f t="shared" si="37"/>
        <v>1.0193944131692148E-2</v>
      </c>
      <c r="E84" s="26">
        <f t="shared" si="37"/>
        <v>6.9579717908347574E-3</v>
      </c>
      <c r="F84" s="26">
        <f t="shared" si="37"/>
        <v>3.9555496847338278E-3</v>
      </c>
      <c r="G84" s="26">
        <f t="shared" si="37"/>
        <v>5.756260095791145E-4</v>
      </c>
      <c r="H84" s="158">
        <f t="shared" si="37"/>
        <v>6.9726486615083775E-4</v>
      </c>
      <c r="I84" s="53">
        <f t="shared" si="38"/>
        <v>0.14960065669304626</v>
      </c>
      <c r="J84" s="56">
        <f t="shared" si="39"/>
        <v>9.2568734924642748E-3</v>
      </c>
      <c r="K84" s="26">
        <f t="shared" si="36"/>
        <v>4.8364988606037756E-3</v>
      </c>
      <c r="L84" s="26">
        <f t="shared" si="36"/>
        <v>1.3367568513935691E-4</v>
      </c>
      <c r="M84" s="26">
        <f t="shared" si="36"/>
        <v>5.6127767149123751E-4</v>
      </c>
      <c r="N84" s="158">
        <f t="shared" si="36"/>
        <v>1.6534685074924174E-6</v>
      </c>
      <c r="O84" s="151">
        <f t="shared" si="40"/>
        <v>0.12161405830826524</v>
      </c>
    </row>
    <row r="85" spans="2:15" ht="14.5" thickBot="1" x14ac:dyDescent="0.4">
      <c r="B85" s="176"/>
      <c r="C85" s="50" t="s">
        <v>32</v>
      </c>
      <c r="D85" s="56">
        <f t="shared" si="37"/>
        <v>0</v>
      </c>
      <c r="E85" s="26">
        <f t="shared" si="37"/>
        <v>0</v>
      </c>
      <c r="F85" s="26">
        <f t="shared" si="37"/>
        <v>1.8038587938871197E-3</v>
      </c>
      <c r="G85" s="26">
        <f t="shared" si="37"/>
        <v>5.4069772973337326E-4</v>
      </c>
      <c r="H85" s="158">
        <f t="shared" si="37"/>
        <v>3.037127571165701E-4</v>
      </c>
      <c r="I85" s="53">
        <f t="shared" si="38"/>
        <v>5.1461337727823041E-2</v>
      </c>
      <c r="J85" s="56">
        <f t="shared" si="39"/>
        <v>3.8879049784219043E-2</v>
      </c>
      <c r="K85" s="26">
        <f t="shared" si="36"/>
        <v>2.3396577811516914E-2</v>
      </c>
      <c r="L85" s="26">
        <f t="shared" si="36"/>
        <v>1.0229201041038263E-3</v>
      </c>
      <c r="M85" s="26">
        <f t="shared" si="36"/>
        <v>5.968541563876491E-4</v>
      </c>
      <c r="N85" s="158">
        <f t="shared" si="36"/>
        <v>1.0535563770427008E-4</v>
      </c>
      <c r="O85" s="151">
        <f t="shared" si="40"/>
        <v>0.25298370993787661</v>
      </c>
    </row>
    <row r="86" spans="2:15" ht="14.5" thickBot="1" x14ac:dyDescent="0.4">
      <c r="B86" s="176"/>
      <c r="C86" s="50" t="s">
        <v>26</v>
      </c>
      <c r="D86" s="56">
        <f t="shared" si="37"/>
        <v>1.1423517620176731E-3</v>
      </c>
      <c r="E86" s="26">
        <f t="shared" si="37"/>
        <v>5.418107888276757E-3</v>
      </c>
      <c r="F86" s="26">
        <f t="shared" si="37"/>
        <v>1.6080030387210866E-4</v>
      </c>
      <c r="G86" s="26">
        <f>(G67-G$72)^2</f>
        <v>2.4426708675898666E-4</v>
      </c>
      <c r="H86" s="158">
        <f t="shared" si="37"/>
        <v>7.6682725888957762E-4</v>
      </c>
      <c r="I86" s="53">
        <f t="shared" si="38"/>
        <v>8.7933806353501523E-2</v>
      </c>
      <c r="J86" s="56">
        <f t="shared" si="39"/>
        <v>2.6692703031141483E-2</v>
      </c>
      <c r="K86" s="26">
        <f t="shared" si="36"/>
        <v>6.2966766582055814E-3</v>
      </c>
      <c r="L86" s="26">
        <f t="shared" si="36"/>
        <v>3.8160610583599774E-3</v>
      </c>
      <c r="M86" s="26">
        <f t="shared" si="36"/>
        <v>1.0274884382454961E-3</v>
      </c>
      <c r="N86" s="158">
        <f t="shared" si="36"/>
        <v>0</v>
      </c>
      <c r="O86" s="151">
        <f t="shared" si="40"/>
        <v>0.19450688724554854</v>
      </c>
    </row>
    <row r="87" spans="2:15" ht="14.5" thickBot="1" x14ac:dyDescent="0.4">
      <c r="B87" s="176"/>
      <c r="C87" s="48" t="s">
        <v>30</v>
      </c>
      <c r="D87" s="56">
        <f t="shared" si="37"/>
        <v>3.5549636888877571E-2</v>
      </c>
      <c r="E87" s="26">
        <f t="shared" si="37"/>
        <v>2.3396577811516914E-2</v>
      </c>
      <c r="F87" s="26">
        <f t="shared" si="37"/>
        <v>5.1757082443005704E-3</v>
      </c>
      <c r="G87" s="26">
        <f t="shared" si="37"/>
        <v>2.2737168166495608E-3</v>
      </c>
      <c r="H87" s="158">
        <f t="shared" si="37"/>
        <v>5.1255363924785492E-5</v>
      </c>
      <c r="I87" s="53">
        <f t="shared" si="38"/>
        <v>0.25777295266429601</v>
      </c>
      <c r="J87" s="56">
        <f t="shared" si="39"/>
        <v>7.450447966297876E-5</v>
      </c>
      <c r="K87" s="26">
        <f t="shared" si="36"/>
        <v>0</v>
      </c>
      <c r="L87" s="26">
        <f t="shared" si="36"/>
        <v>6.3130869140905964E-6</v>
      </c>
      <c r="M87" s="26">
        <f t="shared" si="36"/>
        <v>0</v>
      </c>
      <c r="N87" s="158">
        <f t="shared" si="36"/>
        <v>4.215778424051932E-4</v>
      </c>
      <c r="O87" s="151">
        <f t="shared" si="40"/>
        <v>2.2414178748780034E-2</v>
      </c>
    </row>
    <row r="88" spans="2:15" ht="14.5" thickBot="1" x14ac:dyDescent="0.4">
      <c r="B88" s="176"/>
      <c r="C88" s="50" t="s">
        <v>28</v>
      </c>
      <c r="D88" s="56">
        <f t="shared" si="37"/>
        <v>1.1955530210377328E-3</v>
      </c>
      <c r="E88" s="26">
        <f t="shared" si="37"/>
        <v>2.0308022980487402E-2</v>
      </c>
      <c r="F88" s="26">
        <f t="shared" si="37"/>
        <v>1.0866649168370449E-3</v>
      </c>
      <c r="G88" s="26">
        <f t="shared" si="37"/>
        <v>0</v>
      </c>
      <c r="H88" s="158">
        <f t="shared" si="37"/>
        <v>9.8183989816877402E-7</v>
      </c>
      <c r="I88" s="53">
        <f t="shared" si="38"/>
        <v>0.15030376827698083</v>
      </c>
      <c r="J88" s="56">
        <f t="shared" si="39"/>
        <v>2.6439066083205898E-2</v>
      </c>
      <c r="K88" s="26">
        <f t="shared" si="36"/>
        <v>1.0926893819009875E-4</v>
      </c>
      <c r="L88" s="26">
        <f t="shared" si="36"/>
        <v>1.7214516372285802E-3</v>
      </c>
      <c r="M88" s="26">
        <f t="shared" si="36"/>
        <v>2.2737168166495608E-3</v>
      </c>
      <c r="N88" s="158">
        <f>(H69-H$73)^2</f>
        <v>7.1293099394506131E-4</v>
      </c>
      <c r="O88" s="151">
        <f t="shared" si="40"/>
        <v>0.176794893787177</v>
      </c>
    </row>
    <row r="89" spans="2:15" ht="14.5" thickBot="1" x14ac:dyDescent="0.4">
      <c r="B89" s="176"/>
      <c r="C89" s="50" t="s">
        <v>23</v>
      </c>
      <c r="D89" s="56">
        <f t="shared" si="37"/>
        <v>1.8414132692920594E-3</v>
      </c>
      <c r="E89" s="26">
        <f t="shared" si="37"/>
        <v>8.832866135811997E-3</v>
      </c>
      <c r="F89" s="26">
        <f t="shared" si="37"/>
        <v>6.939478919157872E-4</v>
      </c>
      <c r="G89" s="26">
        <f t="shared" si="37"/>
        <v>2.1275854781012255E-4</v>
      </c>
      <c r="H89" s="158">
        <f t="shared" si="37"/>
        <v>2.607917469745546E-4</v>
      </c>
      <c r="I89" s="53">
        <f t="shared" si="38"/>
        <v>0.10881993196011713</v>
      </c>
      <c r="J89" s="56">
        <f t="shared" si="39"/>
        <v>2.379800481953959E-2</v>
      </c>
      <c r="K89" s="26">
        <f t="shared" si="36"/>
        <v>3.4781768555822851E-3</v>
      </c>
      <c r="L89" s="26">
        <f t="shared" si="36"/>
        <v>2.3147732324703832E-3</v>
      </c>
      <c r="M89" s="26">
        <f t="shared" si="36"/>
        <v>1.0954287253539844E-3</v>
      </c>
      <c r="N89" s="158">
        <f t="shared" si="36"/>
        <v>1.3323157197762679E-4</v>
      </c>
      <c r="O89" s="151">
        <f t="shared" si="40"/>
        <v>0.17555516285465336</v>
      </c>
    </row>
    <row r="90" spans="2:15" ht="14.5" thickBot="1" x14ac:dyDescent="0.4">
      <c r="B90" s="177"/>
      <c r="C90" s="48" t="s">
        <v>21</v>
      </c>
      <c r="D90" s="57">
        <f t="shared" si="37"/>
        <v>7.4717225164760651E-3</v>
      </c>
      <c r="E90" s="30">
        <f t="shared" si="37"/>
        <v>2.0715430635547198E-2</v>
      </c>
      <c r="F90" s="30">
        <f t="shared" si="37"/>
        <v>2.8062109741946182E-3</v>
      </c>
      <c r="G90" s="30">
        <f t="shared" si="37"/>
        <v>2.636935559395043E-4</v>
      </c>
      <c r="H90" s="159">
        <f t="shared" si="37"/>
        <v>0</v>
      </c>
      <c r="I90" s="161">
        <f t="shared" si="38"/>
        <v>0.17679665630932442</v>
      </c>
      <c r="J90" s="57">
        <f t="shared" si="39"/>
        <v>1.2263034230125312E-2</v>
      </c>
      <c r="K90" s="30">
        <f t="shared" si="36"/>
        <v>8.1556041318322261E-5</v>
      </c>
      <c r="L90" s="30">
        <f t="shared" si="36"/>
        <v>4.6144621191951369E-4</v>
      </c>
      <c r="M90" s="30">
        <f t="shared" si="36"/>
        <v>9.8877939965616836E-4</v>
      </c>
      <c r="N90" s="159">
        <f t="shared" si="36"/>
        <v>7.6682725888957762E-4</v>
      </c>
      <c r="O90" s="126">
        <f t="shared" si="40"/>
        <v>0.12067163354288735</v>
      </c>
    </row>
    <row r="91" spans="2:15" ht="14.5" thickBot="1" x14ac:dyDescent="0.4"/>
    <row r="92" spans="2:15" ht="14.5" thickBot="1" x14ac:dyDescent="0.4">
      <c r="D92" s="155" t="s">
        <v>59</v>
      </c>
      <c r="G92" s="155" t="s">
        <v>60</v>
      </c>
      <c r="H92" s="155" t="s">
        <v>53</v>
      </c>
    </row>
    <row r="93" spans="2:15" ht="14.5" thickBot="1" x14ac:dyDescent="0.4">
      <c r="B93" s="175" t="s">
        <v>0</v>
      </c>
      <c r="C93" s="48" t="s">
        <v>22</v>
      </c>
      <c r="D93" s="162">
        <f>O76/(I76+O76)</f>
        <v>0.36281503045858432</v>
      </c>
      <c r="F93" s="48" t="s">
        <v>32</v>
      </c>
      <c r="G93" s="162">
        <v>0.830966743842945</v>
      </c>
      <c r="H93" s="166">
        <v>1</v>
      </c>
    </row>
    <row r="94" spans="2:15" ht="14.5" thickBot="1" x14ac:dyDescent="0.4">
      <c r="B94" s="176"/>
      <c r="C94" s="48" t="s">
        <v>29</v>
      </c>
      <c r="D94" s="163">
        <f t="shared" ref="D94:D107" si="41">O77/(I77+O77)</f>
        <v>0.14266978199325031</v>
      </c>
      <c r="F94" s="50" t="s">
        <v>26</v>
      </c>
      <c r="G94" s="163">
        <v>0.68866452906275799</v>
      </c>
      <c r="H94" s="167">
        <v>2</v>
      </c>
    </row>
    <row r="95" spans="2:15" ht="14.5" thickBot="1" x14ac:dyDescent="0.4">
      <c r="B95" s="176"/>
      <c r="C95" s="144" t="s">
        <v>18</v>
      </c>
      <c r="D95" s="163">
        <f t="shared" si="41"/>
        <v>0.11451584736954851</v>
      </c>
      <c r="F95" s="165" t="s">
        <v>23</v>
      </c>
      <c r="G95" s="163">
        <v>0.61733663058293586</v>
      </c>
      <c r="H95" s="167">
        <v>3</v>
      </c>
    </row>
    <row r="96" spans="2:15" ht="14.5" thickBot="1" x14ac:dyDescent="0.4">
      <c r="B96" s="176"/>
      <c r="C96" s="50" t="s">
        <v>24</v>
      </c>
      <c r="D96" s="163">
        <f t="shared" si="41"/>
        <v>0.29761477750281623</v>
      </c>
      <c r="F96" s="48" t="s">
        <v>27</v>
      </c>
      <c r="G96" s="163">
        <v>0.60684915434971265</v>
      </c>
      <c r="H96" s="167">
        <v>4</v>
      </c>
    </row>
    <row r="97" spans="2:8" ht="14.5" thickBot="1" x14ac:dyDescent="0.4">
      <c r="B97" s="176"/>
      <c r="C97" s="50" t="s">
        <v>31</v>
      </c>
      <c r="D97" s="163">
        <f t="shared" si="41"/>
        <v>4.193059524822728E-2</v>
      </c>
      <c r="F97" s="48" t="s">
        <v>28</v>
      </c>
      <c r="G97" s="163">
        <v>0.54049409028918638</v>
      </c>
      <c r="H97" s="167">
        <v>5</v>
      </c>
    </row>
    <row r="98" spans="2:8" ht="14.5" thickBot="1" x14ac:dyDescent="0.4">
      <c r="B98" s="176"/>
      <c r="C98" s="48" t="s">
        <v>25</v>
      </c>
      <c r="D98" s="163">
        <f t="shared" si="41"/>
        <v>4.541127911954547E-2</v>
      </c>
      <c r="F98" s="48" t="s">
        <v>19</v>
      </c>
      <c r="G98" s="163">
        <v>0.44840508859438971</v>
      </c>
      <c r="H98" s="167">
        <v>6</v>
      </c>
    </row>
    <row r="99" spans="2:8" ht="14.5" thickBot="1" x14ac:dyDescent="0.4">
      <c r="B99" s="176"/>
      <c r="C99" s="48" t="s">
        <v>27</v>
      </c>
      <c r="D99" s="163">
        <f t="shared" si="41"/>
        <v>0.60684915434971265</v>
      </c>
      <c r="F99" s="50" t="s">
        <v>21</v>
      </c>
      <c r="G99" s="163">
        <v>0.40566217529552295</v>
      </c>
      <c r="H99" s="167">
        <v>7</v>
      </c>
    </row>
    <row r="100" spans="2:8" ht="14.5" thickBot="1" x14ac:dyDescent="0.4">
      <c r="B100" s="176"/>
      <c r="C100" s="50" t="s">
        <v>20</v>
      </c>
      <c r="D100" s="163">
        <f t="shared" si="41"/>
        <v>0.20146727103584933</v>
      </c>
      <c r="F100" s="50" t="s">
        <v>22</v>
      </c>
      <c r="G100" s="163">
        <v>0.36281503045858432</v>
      </c>
      <c r="H100" s="167">
        <v>8</v>
      </c>
    </row>
    <row r="101" spans="2:8" ht="14.5" thickBot="1" x14ac:dyDescent="0.4">
      <c r="B101" s="176"/>
      <c r="C101" s="48" t="s">
        <v>19</v>
      </c>
      <c r="D101" s="163">
        <f t="shared" si="41"/>
        <v>0.44840508859438971</v>
      </c>
      <c r="F101" s="48" t="s">
        <v>24</v>
      </c>
      <c r="G101" s="163">
        <v>0.29761477750281623</v>
      </c>
      <c r="H101" s="167">
        <v>9</v>
      </c>
    </row>
    <row r="102" spans="2:8" ht="14.5" thickBot="1" x14ac:dyDescent="0.4">
      <c r="B102" s="176"/>
      <c r="C102" s="50" t="s">
        <v>32</v>
      </c>
      <c r="D102" s="163">
        <f t="shared" si="41"/>
        <v>0.830966743842945</v>
      </c>
      <c r="F102" s="49" t="s">
        <v>20</v>
      </c>
      <c r="G102" s="163">
        <v>0.20146727103584933</v>
      </c>
      <c r="H102" s="167">
        <v>10</v>
      </c>
    </row>
    <row r="103" spans="2:8" ht="14.5" thickBot="1" x14ac:dyDescent="0.4">
      <c r="B103" s="176"/>
      <c r="C103" s="50" t="s">
        <v>26</v>
      </c>
      <c r="D103" s="163">
        <f t="shared" si="41"/>
        <v>0.68866452906275799</v>
      </c>
      <c r="F103" s="50" t="s">
        <v>29</v>
      </c>
      <c r="G103" s="163">
        <v>0.14266978199325031</v>
      </c>
      <c r="H103" s="167">
        <v>11</v>
      </c>
    </row>
    <row r="104" spans="2:8" ht="14.5" thickBot="1" x14ac:dyDescent="0.4">
      <c r="B104" s="176"/>
      <c r="C104" s="48" t="s">
        <v>30</v>
      </c>
      <c r="D104" s="163">
        <f t="shared" si="41"/>
        <v>7.9997174159062712E-2</v>
      </c>
      <c r="F104" s="48" t="s">
        <v>18</v>
      </c>
      <c r="G104" s="163">
        <v>0.11451584736954851</v>
      </c>
      <c r="H104" s="167">
        <v>12</v>
      </c>
    </row>
    <row r="105" spans="2:8" ht="14.5" thickBot="1" x14ac:dyDescent="0.4">
      <c r="B105" s="176"/>
      <c r="C105" s="50" t="s">
        <v>28</v>
      </c>
      <c r="D105" s="163">
        <f t="shared" si="41"/>
        <v>0.54049409028918638</v>
      </c>
      <c r="F105" s="50" t="s">
        <v>30</v>
      </c>
      <c r="G105" s="163">
        <v>7.9997174159062712E-2</v>
      </c>
      <c r="H105" s="167">
        <v>13</v>
      </c>
    </row>
    <row r="106" spans="2:8" ht="14.5" thickBot="1" x14ac:dyDescent="0.4">
      <c r="B106" s="176"/>
      <c r="C106" s="50" t="s">
        <v>23</v>
      </c>
      <c r="D106" s="163">
        <f t="shared" si="41"/>
        <v>0.61733663058293586</v>
      </c>
      <c r="F106" s="50" t="s">
        <v>25</v>
      </c>
      <c r="G106" s="163">
        <v>4.541127911954547E-2</v>
      </c>
      <c r="H106" s="167">
        <v>14</v>
      </c>
    </row>
    <row r="107" spans="2:8" ht="14.5" thickBot="1" x14ac:dyDescent="0.4">
      <c r="B107" s="177"/>
      <c r="C107" s="48" t="s">
        <v>21</v>
      </c>
      <c r="D107" s="164">
        <f t="shared" si="41"/>
        <v>0.40566217529552295</v>
      </c>
      <c r="F107" s="50" t="s">
        <v>31</v>
      </c>
      <c r="G107" s="164">
        <v>4.193059524822728E-2</v>
      </c>
      <c r="H107" s="168">
        <v>15</v>
      </c>
    </row>
  </sheetData>
  <sortState xmlns:xlrd2="http://schemas.microsoft.com/office/spreadsheetml/2017/richdata2" ref="F93:G107">
    <sortCondition descending="1" ref="G93:G107"/>
  </sortState>
  <mergeCells count="14">
    <mergeCell ref="D75:H75"/>
    <mergeCell ref="J75:N75"/>
    <mergeCell ref="B76:B90"/>
    <mergeCell ref="B93:B107"/>
    <mergeCell ref="B24:B38"/>
    <mergeCell ref="D3:H3"/>
    <mergeCell ref="D4:D5"/>
    <mergeCell ref="E4:H4"/>
    <mergeCell ref="B2:C5"/>
    <mergeCell ref="D2:H2"/>
    <mergeCell ref="B6:C6"/>
    <mergeCell ref="B7:B21"/>
    <mergeCell ref="B41:B55"/>
    <mergeCell ref="B57:B71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D75-39A5-4E81-A7EF-E4F66C4ECCB5}">
  <dimension ref="B1:H110"/>
  <sheetViews>
    <sheetView topLeftCell="A95" zoomScale="149" zoomScaleNormal="80" workbookViewId="0">
      <selection activeCell="F11" sqref="F11"/>
    </sheetView>
  </sheetViews>
  <sheetFormatPr baseColWidth="10" defaultRowHeight="14" x14ac:dyDescent="0.35"/>
  <cols>
    <col min="1" max="1" width="10.90625" style="35"/>
    <col min="2" max="2" width="13.1796875" style="35" bestFit="1" customWidth="1"/>
    <col min="3" max="3" width="22.6328125" style="35" bestFit="1" customWidth="1"/>
    <col min="4" max="4" width="19.90625" style="35" bestFit="1" customWidth="1"/>
    <col min="5" max="5" width="17.453125" style="35" customWidth="1"/>
    <col min="6" max="6" width="19.453125" style="35" bestFit="1" customWidth="1"/>
    <col min="7" max="8" width="10.90625" style="35"/>
    <col min="9" max="9" width="11" style="35" bestFit="1" customWidth="1"/>
    <col min="10" max="16384" width="10.90625" style="35"/>
  </cols>
  <sheetData>
    <row r="1" spans="2:4" ht="14.5" thickBot="1" x14ac:dyDescent="0.4"/>
    <row r="2" spans="2:4" ht="14.5" thickBot="1" x14ac:dyDescent="0.4">
      <c r="B2" s="178" t="s">
        <v>40</v>
      </c>
      <c r="C2" s="179"/>
      <c r="D2" s="153" t="s">
        <v>1</v>
      </c>
    </row>
    <row r="3" spans="2:4" ht="14.5" thickBot="1" x14ac:dyDescent="0.4">
      <c r="B3" s="180"/>
      <c r="C3" s="181"/>
      <c r="D3" s="12" t="s">
        <v>5</v>
      </c>
    </row>
    <row r="4" spans="2:4" ht="28.5" thickBot="1" x14ac:dyDescent="0.4">
      <c r="B4" s="180"/>
      <c r="C4" s="181"/>
      <c r="D4" s="14" t="s">
        <v>36</v>
      </c>
    </row>
    <row r="5" spans="2:4" ht="14.5" thickBot="1" x14ac:dyDescent="0.4">
      <c r="B5" s="185" t="s">
        <v>52</v>
      </c>
      <c r="C5" s="186"/>
      <c r="D5" s="34">
        <v>1</v>
      </c>
    </row>
    <row r="6" spans="2:4" ht="14.5" thickBot="1" x14ac:dyDescent="0.4">
      <c r="B6" s="175" t="s">
        <v>0</v>
      </c>
      <c r="C6" s="48" t="s">
        <v>22</v>
      </c>
      <c r="D6" s="208">
        <v>3</v>
      </c>
    </row>
    <row r="7" spans="2:4" ht="14.5" thickBot="1" x14ac:dyDescent="0.4">
      <c r="B7" s="176"/>
      <c r="C7" s="48" t="s">
        <v>29</v>
      </c>
      <c r="D7" s="209">
        <v>3</v>
      </c>
    </row>
    <row r="8" spans="2:4" ht="14.5" thickBot="1" x14ac:dyDescent="0.4">
      <c r="B8" s="176"/>
      <c r="C8" s="35" t="s">
        <v>18</v>
      </c>
      <c r="D8" s="210">
        <v>2</v>
      </c>
    </row>
    <row r="9" spans="2:4" ht="14.5" thickBot="1" x14ac:dyDescent="0.4">
      <c r="B9" s="176"/>
      <c r="C9" s="50" t="s">
        <v>24</v>
      </c>
      <c r="D9" s="209">
        <v>2</v>
      </c>
    </row>
    <row r="10" spans="2:4" ht="14.5" thickBot="1" x14ac:dyDescent="0.4">
      <c r="B10" s="176"/>
      <c r="C10" s="50" t="s">
        <v>31</v>
      </c>
      <c r="D10" s="209">
        <v>1</v>
      </c>
    </row>
    <row r="11" spans="2:4" ht="14.5" thickBot="1" x14ac:dyDescent="0.4">
      <c r="B11" s="176"/>
      <c r="C11" s="48" t="s">
        <v>25</v>
      </c>
      <c r="D11" s="209">
        <v>2</v>
      </c>
    </row>
    <row r="12" spans="2:4" ht="14.5" thickBot="1" x14ac:dyDescent="0.4">
      <c r="B12" s="176"/>
      <c r="C12" s="48" t="s">
        <v>27</v>
      </c>
      <c r="D12" s="209">
        <v>4</v>
      </c>
    </row>
    <row r="13" spans="2:4" ht="14.5" thickBot="1" x14ac:dyDescent="0.4">
      <c r="B13" s="176"/>
      <c r="C13" s="50" t="s">
        <v>20</v>
      </c>
      <c r="D13" s="210">
        <v>2</v>
      </c>
    </row>
    <row r="14" spans="2:4" ht="14.5" thickBot="1" x14ac:dyDescent="0.4">
      <c r="B14" s="176"/>
      <c r="C14" s="48" t="s">
        <v>19</v>
      </c>
      <c r="D14" s="210">
        <v>3</v>
      </c>
    </row>
    <row r="15" spans="2:4" ht="14.5" thickBot="1" x14ac:dyDescent="0.4">
      <c r="B15" s="176"/>
      <c r="C15" s="50" t="s">
        <v>32</v>
      </c>
      <c r="D15" s="209">
        <v>4</v>
      </c>
    </row>
    <row r="16" spans="2:4" ht="14.5" thickBot="1" x14ac:dyDescent="0.4">
      <c r="B16" s="176"/>
      <c r="C16" s="50" t="s">
        <v>26</v>
      </c>
      <c r="D16" s="209">
        <v>4</v>
      </c>
    </row>
    <row r="17" spans="2:4" ht="14.5" thickBot="1" x14ac:dyDescent="0.4">
      <c r="B17" s="176"/>
      <c r="C17" s="48" t="s">
        <v>30</v>
      </c>
      <c r="D17" s="209">
        <v>1</v>
      </c>
    </row>
    <row r="18" spans="2:4" ht="14.5" thickBot="1" x14ac:dyDescent="0.4">
      <c r="B18" s="176"/>
      <c r="C18" s="50" t="s">
        <v>28</v>
      </c>
      <c r="D18" s="209">
        <v>3</v>
      </c>
    </row>
    <row r="19" spans="2:4" ht="14.5" thickBot="1" x14ac:dyDescent="0.4">
      <c r="B19" s="176"/>
      <c r="C19" s="50" t="s">
        <v>23</v>
      </c>
      <c r="D19" s="210">
        <v>4</v>
      </c>
    </row>
    <row r="20" spans="2:4" ht="14.5" thickBot="1" x14ac:dyDescent="0.4">
      <c r="B20" s="177"/>
      <c r="C20" s="48" t="s">
        <v>21</v>
      </c>
      <c r="D20" s="211">
        <v>3</v>
      </c>
    </row>
    <row r="21" spans="2:4" x14ac:dyDescent="0.35">
      <c r="B21" s="196"/>
      <c r="C21" s="197" t="s">
        <v>7</v>
      </c>
      <c r="D21" s="216">
        <f>SUM(D6:D20)</f>
        <v>41</v>
      </c>
    </row>
    <row r="22" spans="2:4" ht="14.5" thickBot="1" x14ac:dyDescent="0.4"/>
    <row r="23" spans="2:4" ht="14.5" customHeight="1" thickBot="1" x14ac:dyDescent="0.4">
      <c r="B23" s="178" t="s">
        <v>40</v>
      </c>
      <c r="C23" s="179"/>
      <c r="D23" s="153" t="s">
        <v>1</v>
      </c>
    </row>
    <row r="24" spans="2:4" ht="14.5" thickBot="1" x14ac:dyDescent="0.4">
      <c r="B24" s="180"/>
      <c r="C24" s="181"/>
      <c r="D24" s="12" t="s">
        <v>2</v>
      </c>
    </row>
    <row r="25" spans="2:4" ht="28.5" thickBot="1" x14ac:dyDescent="0.4">
      <c r="B25" s="180"/>
      <c r="C25" s="181"/>
      <c r="D25" s="14" t="s">
        <v>33</v>
      </c>
    </row>
    <row r="26" spans="2:4" ht="15" customHeight="1" thickBot="1" x14ac:dyDescent="0.4">
      <c r="B26" s="185" t="s">
        <v>52</v>
      </c>
      <c r="C26" s="186"/>
      <c r="D26" s="75">
        <v>1</v>
      </c>
    </row>
    <row r="27" spans="2:4" ht="14.5" thickBot="1" x14ac:dyDescent="0.4">
      <c r="B27" s="175" t="s">
        <v>0</v>
      </c>
      <c r="C27" s="48" t="s">
        <v>22</v>
      </c>
      <c r="D27" s="199">
        <f>D6/$D$21</f>
        <v>7.3170731707317069E-2</v>
      </c>
    </row>
    <row r="28" spans="2:4" ht="14.5" thickBot="1" x14ac:dyDescent="0.4">
      <c r="B28" s="176"/>
      <c r="C28" s="48" t="s">
        <v>29</v>
      </c>
      <c r="D28" s="201">
        <f t="shared" ref="D28:D41" si="0">D7/$D$21</f>
        <v>7.3170731707317069E-2</v>
      </c>
    </row>
    <row r="29" spans="2:4" ht="14.5" thickBot="1" x14ac:dyDescent="0.4">
      <c r="B29" s="176"/>
      <c r="C29" s="35" t="s">
        <v>18</v>
      </c>
      <c r="D29" s="201">
        <f t="shared" si="0"/>
        <v>4.878048780487805E-2</v>
      </c>
    </row>
    <row r="30" spans="2:4" ht="14.5" thickBot="1" x14ac:dyDescent="0.4">
      <c r="B30" s="176"/>
      <c r="C30" s="50" t="s">
        <v>24</v>
      </c>
      <c r="D30" s="201">
        <f t="shared" si="0"/>
        <v>4.878048780487805E-2</v>
      </c>
    </row>
    <row r="31" spans="2:4" ht="14.5" thickBot="1" x14ac:dyDescent="0.4">
      <c r="B31" s="176"/>
      <c r="C31" s="50" t="s">
        <v>31</v>
      </c>
      <c r="D31" s="201">
        <f t="shared" si="0"/>
        <v>2.4390243902439025E-2</v>
      </c>
    </row>
    <row r="32" spans="2:4" ht="14.5" thickBot="1" x14ac:dyDescent="0.4">
      <c r="B32" s="176"/>
      <c r="C32" s="48" t="s">
        <v>25</v>
      </c>
      <c r="D32" s="201">
        <f t="shared" si="0"/>
        <v>4.878048780487805E-2</v>
      </c>
    </row>
    <row r="33" spans="2:4" ht="14.5" thickBot="1" x14ac:dyDescent="0.4">
      <c r="B33" s="176"/>
      <c r="C33" s="48" t="s">
        <v>27</v>
      </c>
      <c r="D33" s="201">
        <f t="shared" si="0"/>
        <v>9.7560975609756101E-2</v>
      </c>
    </row>
    <row r="34" spans="2:4" ht="14.5" thickBot="1" x14ac:dyDescent="0.4">
      <c r="B34" s="176"/>
      <c r="C34" s="50" t="s">
        <v>20</v>
      </c>
      <c r="D34" s="201">
        <f t="shared" si="0"/>
        <v>4.878048780487805E-2</v>
      </c>
    </row>
    <row r="35" spans="2:4" ht="14.5" thickBot="1" x14ac:dyDescent="0.4">
      <c r="B35" s="176"/>
      <c r="C35" s="48" t="s">
        <v>19</v>
      </c>
      <c r="D35" s="201">
        <f t="shared" si="0"/>
        <v>7.3170731707317069E-2</v>
      </c>
    </row>
    <row r="36" spans="2:4" ht="14.5" customHeight="1" thickBot="1" x14ac:dyDescent="0.4">
      <c r="B36" s="176"/>
      <c r="C36" s="50" t="s">
        <v>32</v>
      </c>
      <c r="D36" s="201">
        <f t="shared" si="0"/>
        <v>9.7560975609756101E-2</v>
      </c>
    </row>
    <row r="37" spans="2:4" ht="15" customHeight="1" thickBot="1" x14ac:dyDescent="0.4">
      <c r="B37" s="176"/>
      <c r="C37" s="50" t="s">
        <v>26</v>
      </c>
      <c r="D37" s="201">
        <f t="shared" si="0"/>
        <v>9.7560975609756101E-2</v>
      </c>
    </row>
    <row r="38" spans="2:4" ht="15" customHeight="1" thickBot="1" x14ac:dyDescent="0.4">
      <c r="B38" s="176"/>
      <c r="C38" s="48" t="s">
        <v>30</v>
      </c>
      <c r="D38" s="201">
        <f t="shared" si="0"/>
        <v>2.4390243902439025E-2</v>
      </c>
    </row>
    <row r="39" spans="2:4" ht="14.5" thickBot="1" x14ac:dyDescent="0.4">
      <c r="B39" s="176"/>
      <c r="C39" s="50" t="s">
        <v>28</v>
      </c>
      <c r="D39" s="201">
        <f t="shared" si="0"/>
        <v>7.3170731707317069E-2</v>
      </c>
    </row>
    <row r="40" spans="2:4" ht="14.5" thickBot="1" x14ac:dyDescent="0.4">
      <c r="B40" s="176"/>
      <c r="C40" s="50" t="s">
        <v>23</v>
      </c>
      <c r="D40" s="201">
        <f t="shared" si="0"/>
        <v>9.7560975609756101E-2</v>
      </c>
    </row>
    <row r="41" spans="2:4" ht="14.5" thickBot="1" x14ac:dyDescent="0.4">
      <c r="B41" s="177"/>
      <c r="C41" s="48" t="s">
        <v>21</v>
      </c>
      <c r="D41" s="202">
        <f t="shared" si="0"/>
        <v>7.3170731707317069E-2</v>
      </c>
    </row>
    <row r="42" spans="2:4" x14ac:dyDescent="0.35">
      <c r="B42" s="1"/>
      <c r="C42" s="154"/>
      <c r="D42" s="101" cm="1">
        <f t="array" ref="D42">SQRT(SUMPRODUCT(D27:D41^2))</f>
        <v>0.27486408950206453</v>
      </c>
    </row>
    <row r="43" spans="2:4" ht="14.5" thickBot="1" x14ac:dyDescent="0.4"/>
    <row r="44" spans="2:4" ht="14.5" thickBot="1" x14ac:dyDescent="0.4">
      <c r="B44" s="175" t="s">
        <v>0</v>
      </c>
      <c r="C44" s="48" t="s">
        <v>22</v>
      </c>
      <c r="D44" s="199">
        <f>D27/D$42</f>
        <v>0.26620695282483409</v>
      </c>
    </row>
    <row r="45" spans="2:4" ht="14.5" thickBot="1" x14ac:dyDescent="0.4">
      <c r="B45" s="176"/>
      <c r="C45" s="48" t="s">
        <v>29</v>
      </c>
      <c r="D45" s="200">
        <f>D28/D$42</f>
        <v>0.26620695282483409</v>
      </c>
    </row>
    <row r="46" spans="2:4" ht="14.5" thickBot="1" x14ac:dyDescent="0.4">
      <c r="B46" s="176"/>
      <c r="C46" s="144" t="s">
        <v>18</v>
      </c>
      <c r="D46" s="200">
        <f>D29/D$42</f>
        <v>0.17747130188322274</v>
      </c>
    </row>
    <row r="47" spans="2:4" ht="14.5" thickBot="1" x14ac:dyDescent="0.4">
      <c r="B47" s="176"/>
      <c r="C47" s="50" t="s">
        <v>24</v>
      </c>
      <c r="D47" s="200">
        <f>D30/D$42</f>
        <v>0.17747130188322274</v>
      </c>
    </row>
    <row r="48" spans="2:4" ht="14.5" thickBot="1" x14ac:dyDescent="0.4">
      <c r="B48" s="176"/>
      <c r="C48" s="50" t="s">
        <v>31</v>
      </c>
      <c r="D48" s="200">
        <f>D31/D$42</f>
        <v>8.8735650941611371E-2</v>
      </c>
    </row>
    <row r="49" spans="2:5" ht="14.5" thickBot="1" x14ac:dyDescent="0.4">
      <c r="B49" s="176"/>
      <c r="C49" s="48" t="s">
        <v>25</v>
      </c>
      <c r="D49" s="200">
        <f>D32/D$42</f>
        <v>0.17747130188322274</v>
      </c>
    </row>
    <row r="50" spans="2:5" ht="14.5" thickBot="1" x14ac:dyDescent="0.4">
      <c r="B50" s="176"/>
      <c r="C50" s="48" t="s">
        <v>27</v>
      </c>
      <c r="D50" s="200">
        <f>D33/D$42</f>
        <v>0.35494260376644549</v>
      </c>
    </row>
    <row r="51" spans="2:5" ht="14.5" thickBot="1" x14ac:dyDescent="0.4">
      <c r="B51" s="176"/>
      <c r="C51" s="50" t="s">
        <v>20</v>
      </c>
      <c r="D51" s="200">
        <f>D34/D$42</f>
        <v>0.17747130188322274</v>
      </c>
    </row>
    <row r="52" spans="2:5" ht="14.5" thickBot="1" x14ac:dyDescent="0.4">
      <c r="B52" s="176"/>
      <c r="C52" s="48" t="s">
        <v>19</v>
      </c>
      <c r="D52" s="200">
        <f>D35/D$42</f>
        <v>0.26620695282483409</v>
      </c>
    </row>
    <row r="53" spans="2:5" ht="14.5" thickBot="1" x14ac:dyDescent="0.4">
      <c r="B53" s="176"/>
      <c r="C53" s="50" t="s">
        <v>32</v>
      </c>
      <c r="D53" s="200">
        <f>D36/D$42</f>
        <v>0.35494260376644549</v>
      </c>
    </row>
    <row r="54" spans="2:5" ht="14.5" thickBot="1" x14ac:dyDescent="0.4">
      <c r="B54" s="176"/>
      <c r="C54" s="50" t="s">
        <v>26</v>
      </c>
      <c r="D54" s="200">
        <f>D37/D$42</f>
        <v>0.35494260376644549</v>
      </c>
    </row>
    <row r="55" spans="2:5" ht="14.5" thickBot="1" x14ac:dyDescent="0.4">
      <c r="B55" s="176"/>
      <c r="C55" s="48" t="s">
        <v>30</v>
      </c>
      <c r="D55" s="200">
        <f>D38/D$42</f>
        <v>8.8735650941611371E-2</v>
      </c>
    </row>
    <row r="56" spans="2:5" ht="14.5" thickBot="1" x14ac:dyDescent="0.4">
      <c r="B56" s="176"/>
      <c r="C56" s="50" t="s">
        <v>28</v>
      </c>
      <c r="D56" s="200">
        <f>D39/D$42</f>
        <v>0.26620695282483409</v>
      </c>
    </row>
    <row r="57" spans="2:5" ht="14.5" thickBot="1" x14ac:dyDescent="0.4">
      <c r="B57" s="176"/>
      <c r="C57" s="50" t="s">
        <v>23</v>
      </c>
      <c r="D57" s="200">
        <f>D40/D$42</f>
        <v>0.35494260376644549</v>
      </c>
    </row>
    <row r="58" spans="2:5" ht="14.5" thickBot="1" x14ac:dyDescent="0.4">
      <c r="B58" s="177"/>
      <c r="C58" s="48" t="s">
        <v>21</v>
      </c>
      <c r="D58" s="204">
        <f>D41/D$42</f>
        <v>0.26620695282483409</v>
      </c>
      <c r="E58" s="134"/>
    </row>
    <row r="59" spans="2:5" ht="14.5" thickBot="1" x14ac:dyDescent="0.4"/>
    <row r="60" spans="2:5" ht="14.5" thickBot="1" x14ac:dyDescent="0.4">
      <c r="B60" s="175" t="s">
        <v>0</v>
      </c>
      <c r="C60" s="48" t="s">
        <v>22</v>
      </c>
      <c r="D60" s="199">
        <f>D44*D$26</f>
        <v>0.26620695282483409</v>
      </c>
    </row>
    <row r="61" spans="2:5" ht="14.5" thickBot="1" x14ac:dyDescent="0.4">
      <c r="B61" s="176"/>
      <c r="C61" s="48" t="s">
        <v>29</v>
      </c>
      <c r="D61" s="200">
        <f>D45*D$26</f>
        <v>0.26620695282483409</v>
      </c>
    </row>
    <row r="62" spans="2:5" ht="14.5" thickBot="1" x14ac:dyDescent="0.4">
      <c r="B62" s="176"/>
      <c r="C62" s="144" t="s">
        <v>18</v>
      </c>
      <c r="D62" s="200">
        <f>D46*D$26</f>
        <v>0.17747130188322274</v>
      </c>
    </row>
    <row r="63" spans="2:5" ht="14.5" thickBot="1" x14ac:dyDescent="0.4">
      <c r="B63" s="176"/>
      <c r="C63" s="50" t="s">
        <v>24</v>
      </c>
      <c r="D63" s="200">
        <f>D47*D$26</f>
        <v>0.17747130188322274</v>
      </c>
    </row>
    <row r="64" spans="2:5" ht="14.5" thickBot="1" x14ac:dyDescent="0.4">
      <c r="B64" s="176"/>
      <c r="C64" s="50" t="s">
        <v>31</v>
      </c>
      <c r="D64" s="200">
        <f>D48*D$26</f>
        <v>8.8735650941611371E-2</v>
      </c>
    </row>
    <row r="65" spans="2:5" ht="14.5" thickBot="1" x14ac:dyDescent="0.4">
      <c r="B65" s="176"/>
      <c r="C65" s="48" t="s">
        <v>25</v>
      </c>
      <c r="D65" s="200">
        <f>D49*D$26</f>
        <v>0.17747130188322274</v>
      </c>
    </row>
    <row r="66" spans="2:5" ht="14.5" thickBot="1" x14ac:dyDescent="0.4">
      <c r="B66" s="176"/>
      <c r="C66" s="48" t="s">
        <v>27</v>
      </c>
      <c r="D66" s="200">
        <f>D50*D$26</f>
        <v>0.35494260376644549</v>
      </c>
    </row>
    <row r="67" spans="2:5" ht="14.5" thickBot="1" x14ac:dyDescent="0.4">
      <c r="B67" s="176"/>
      <c r="C67" s="50" t="s">
        <v>20</v>
      </c>
      <c r="D67" s="200">
        <f>D51*D$26</f>
        <v>0.17747130188322274</v>
      </c>
    </row>
    <row r="68" spans="2:5" ht="14.5" thickBot="1" x14ac:dyDescent="0.4">
      <c r="B68" s="176"/>
      <c r="C68" s="48" t="s">
        <v>19</v>
      </c>
      <c r="D68" s="200">
        <f>D52*D$26</f>
        <v>0.26620695282483409</v>
      </c>
    </row>
    <row r="69" spans="2:5" ht="14.5" thickBot="1" x14ac:dyDescent="0.4">
      <c r="B69" s="176"/>
      <c r="C69" s="50" t="s">
        <v>32</v>
      </c>
      <c r="D69" s="200">
        <f>D53*D$26</f>
        <v>0.35494260376644549</v>
      </c>
    </row>
    <row r="70" spans="2:5" ht="14.5" thickBot="1" x14ac:dyDescent="0.4">
      <c r="B70" s="176"/>
      <c r="C70" s="50" t="s">
        <v>26</v>
      </c>
      <c r="D70" s="200">
        <f>D54*D$26</f>
        <v>0.35494260376644549</v>
      </c>
    </row>
    <row r="71" spans="2:5" ht="14.5" thickBot="1" x14ac:dyDescent="0.4">
      <c r="B71" s="176"/>
      <c r="C71" s="48" t="s">
        <v>30</v>
      </c>
      <c r="D71" s="200">
        <f>D55*D$26</f>
        <v>8.8735650941611371E-2</v>
      </c>
    </row>
    <row r="72" spans="2:5" ht="14.5" thickBot="1" x14ac:dyDescent="0.4">
      <c r="B72" s="176"/>
      <c r="C72" s="50" t="s">
        <v>28</v>
      </c>
      <c r="D72" s="200">
        <f>D56*D$26</f>
        <v>0.26620695282483409</v>
      </c>
    </row>
    <row r="73" spans="2:5" ht="14.5" thickBot="1" x14ac:dyDescent="0.4">
      <c r="B73" s="176"/>
      <c r="C73" s="50" t="s">
        <v>23</v>
      </c>
      <c r="D73" s="200">
        <f>D57*D$26</f>
        <v>0.35494260376644549</v>
      </c>
    </row>
    <row r="74" spans="2:5" ht="14.5" thickBot="1" x14ac:dyDescent="0.4">
      <c r="B74" s="177"/>
      <c r="C74" s="48" t="s">
        <v>21</v>
      </c>
      <c r="D74" s="205">
        <f>D58*D$26</f>
        <v>0.26620695282483409</v>
      </c>
    </row>
    <row r="75" spans="2:5" ht="14.5" thickBot="1" x14ac:dyDescent="0.4">
      <c r="C75" s="49" t="s">
        <v>54</v>
      </c>
      <c r="D75" s="162">
        <f>MAX(D60:D74)</f>
        <v>0.35494260376644549</v>
      </c>
    </row>
    <row r="76" spans="2:5" ht="14.5" thickBot="1" x14ac:dyDescent="0.4">
      <c r="C76" s="156" t="s">
        <v>55</v>
      </c>
      <c r="D76" s="164">
        <f>MIN(D60:D74)</f>
        <v>8.8735650941611371E-2</v>
      </c>
    </row>
    <row r="77" spans="2:5" ht="14.5" thickBot="1" x14ac:dyDescent="0.4">
      <c r="D77" s="134"/>
    </row>
    <row r="78" spans="2:5" ht="15" customHeight="1" thickBot="1" x14ac:dyDescent="0.4">
      <c r="D78" s="49" t="s">
        <v>57</v>
      </c>
      <c r="E78" s="143" t="s">
        <v>58</v>
      </c>
    </row>
    <row r="79" spans="2:5" ht="14.5" thickBot="1" x14ac:dyDescent="0.4">
      <c r="B79" s="175" t="s">
        <v>0</v>
      </c>
      <c r="C79" s="48" t="s">
        <v>22</v>
      </c>
      <c r="D79" s="36">
        <f>(D60-D$75)^2</f>
        <v>7.8740157480314994E-3</v>
      </c>
      <c r="E79" s="199">
        <f>(D60-D$76)^2</f>
        <v>3.149606299212597E-2</v>
      </c>
    </row>
    <row r="80" spans="2:5" ht="14.5" thickBot="1" x14ac:dyDescent="0.4">
      <c r="B80" s="176"/>
      <c r="C80" s="48" t="s">
        <v>29</v>
      </c>
      <c r="D80" s="56">
        <f>(D61-D$75)^2</f>
        <v>7.8740157480314994E-3</v>
      </c>
      <c r="E80" s="200">
        <f>(D61-D$76)^2</f>
        <v>3.149606299212597E-2</v>
      </c>
    </row>
    <row r="81" spans="2:8" ht="14.5" thickBot="1" x14ac:dyDescent="0.4">
      <c r="B81" s="176"/>
      <c r="C81" s="144" t="s">
        <v>18</v>
      </c>
      <c r="D81" s="56">
        <f>(D62-D$75)^2</f>
        <v>3.1496062992125977E-2</v>
      </c>
      <c r="E81" s="200">
        <f>(D62-D$76)^2</f>
        <v>7.8740157480314942E-3</v>
      </c>
    </row>
    <row r="82" spans="2:8" ht="14.5" thickBot="1" x14ac:dyDescent="0.4">
      <c r="B82" s="176"/>
      <c r="C82" s="50" t="s">
        <v>24</v>
      </c>
      <c r="D82" s="56">
        <f>(D63-D$75)^2</f>
        <v>3.1496062992125977E-2</v>
      </c>
      <c r="E82" s="200">
        <f>(D63-D$76)^2</f>
        <v>7.8740157480314942E-3</v>
      </c>
    </row>
    <row r="83" spans="2:8" ht="14.5" thickBot="1" x14ac:dyDescent="0.4">
      <c r="B83" s="176"/>
      <c r="C83" s="50" t="s">
        <v>31</v>
      </c>
      <c r="D83" s="56">
        <f>(D64-D$75)^2</f>
        <v>7.0866141732283436E-2</v>
      </c>
      <c r="E83" s="200">
        <f>(D64-D$76)^2</f>
        <v>0</v>
      </c>
    </row>
    <row r="84" spans="2:8" ht="14.5" thickBot="1" x14ac:dyDescent="0.4">
      <c r="B84" s="176"/>
      <c r="C84" s="48" t="s">
        <v>25</v>
      </c>
      <c r="D84" s="56">
        <f>(D65-D$75)^2</f>
        <v>3.1496062992125977E-2</v>
      </c>
      <c r="E84" s="200">
        <f>(D65-D$76)^2</f>
        <v>7.8740157480314942E-3</v>
      </c>
    </row>
    <row r="85" spans="2:8" ht="14.5" thickBot="1" x14ac:dyDescent="0.4">
      <c r="B85" s="176"/>
      <c r="C85" s="48" t="s">
        <v>27</v>
      </c>
      <c r="D85" s="56">
        <f>(D66-D$75)^2</f>
        <v>0</v>
      </c>
      <c r="E85" s="200">
        <f>(D66-D$76)^2</f>
        <v>7.0866141732283436E-2</v>
      </c>
    </row>
    <row r="86" spans="2:8" ht="14.5" thickBot="1" x14ac:dyDescent="0.4">
      <c r="B86" s="176"/>
      <c r="C86" s="50" t="s">
        <v>20</v>
      </c>
      <c r="D86" s="56">
        <f>(D67-D$75)^2</f>
        <v>3.1496062992125977E-2</v>
      </c>
      <c r="E86" s="200">
        <f>(D67-D$76)^2</f>
        <v>7.8740157480314942E-3</v>
      </c>
    </row>
    <row r="87" spans="2:8" ht="14.5" thickBot="1" x14ac:dyDescent="0.4">
      <c r="B87" s="176"/>
      <c r="C87" s="48" t="s">
        <v>19</v>
      </c>
      <c r="D87" s="56">
        <f>(D68-D$75)^2</f>
        <v>7.8740157480314994E-3</v>
      </c>
      <c r="E87" s="200">
        <f>(D68-D$76)^2</f>
        <v>3.149606299212597E-2</v>
      </c>
    </row>
    <row r="88" spans="2:8" ht="14.5" thickBot="1" x14ac:dyDescent="0.4">
      <c r="B88" s="176"/>
      <c r="C88" s="50" t="s">
        <v>32</v>
      </c>
      <c r="D88" s="56">
        <f>(D69-D$75)^2</f>
        <v>0</v>
      </c>
      <c r="E88" s="200">
        <f>(D69-D$76)^2</f>
        <v>7.0866141732283436E-2</v>
      </c>
    </row>
    <row r="89" spans="2:8" ht="14.5" thickBot="1" x14ac:dyDescent="0.4">
      <c r="B89" s="176"/>
      <c r="C89" s="50" t="s">
        <v>26</v>
      </c>
      <c r="D89" s="56">
        <f>(D70-D$75)^2</f>
        <v>0</v>
      </c>
      <c r="E89" s="200">
        <f>(D70-D$76)^2</f>
        <v>7.0866141732283436E-2</v>
      </c>
    </row>
    <row r="90" spans="2:8" ht="14.5" thickBot="1" x14ac:dyDescent="0.4">
      <c r="B90" s="176"/>
      <c r="C90" s="48" t="s">
        <v>30</v>
      </c>
      <c r="D90" s="56">
        <f>(D71-D$75)^2</f>
        <v>7.0866141732283436E-2</v>
      </c>
      <c r="E90" s="200">
        <f>(D71-D$76)^2</f>
        <v>0</v>
      </c>
    </row>
    <row r="91" spans="2:8" ht="14.5" thickBot="1" x14ac:dyDescent="0.4">
      <c r="B91" s="176"/>
      <c r="C91" s="50" t="s">
        <v>28</v>
      </c>
      <c r="D91" s="56">
        <f>(D72-D$75)^2</f>
        <v>7.8740157480314994E-3</v>
      </c>
      <c r="E91" s="200">
        <f>(D72-D$76)^2</f>
        <v>3.149606299212597E-2</v>
      </c>
    </row>
    <row r="92" spans="2:8" ht="14.5" thickBot="1" x14ac:dyDescent="0.4">
      <c r="B92" s="176"/>
      <c r="C92" s="50" t="s">
        <v>23</v>
      </c>
      <c r="D92" s="56">
        <f>(D73-D$75)^2</f>
        <v>0</v>
      </c>
      <c r="E92" s="200">
        <f>(D73-D$76)^2</f>
        <v>7.0866141732283436E-2</v>
      </c>
    </row>
    <row r="93" spans="2:8" ht="14.5" thickBot="1" x14ac:dyDescent="0.4">
      <c r="B93" s="177"/>
      <c r="C93" s="48" t="s">
        <v>21</v>
      </c>
      <c r="D93" s="57">
        <f>(D74-D$75)^2</f>
        <v>7.8740157480314994E-3</v>
      </c>
      <c r="E93" s="204">
        <f>(D74-D$76)^2</f>
        <v>3.149606299212597E-2</v>
      </c>
    </row>
    <row r="94" spans="2:8" ht="14.5" thickBot="1" x14ac:dyDescent="0.4"/>
    <row r="95" spans="2:8" ht="14.5" thickBot="1" x14ac:dyDescent="0.4">
      <c r="D95" s="155" t="s">
        <v>59</v>
      </c>
      <c r="F95" s="197"/>
      <c r="G95" s="155" t="s">
        <v>60</v>
      </c>
      <c r="H95" s="155" t="s">
        <v>53</v>
      </c>
    </row>
    <row r="96" spans="2:8" ht="14.5" thickBot="1" x14ac:dyDescent="0.4">
      <c r="B96" s="175" t="s">
        <v>0</v>
      </c>
      <c r="C96" s="48" t="s">
        <v>22</v>
      </c>
      <c r="D96" s="162">
        <f>E79/(D79+E79)</f>
        <v>0.79999999999999993</v>
      </c>
      <c r="F96" s="50" t="s">
        <v>27</v>
      </c>
      <c r="G96" s="162">
        <v>1</v>
      </c>
      <c r="H96" s="166">
        <v>1</v>
      </c>
    </row>
    <row r="97" spans="2:8" ht="14.5" thickBot="1" x14ac:dyDescent="0.4">
      <c r="B97" s="176"/>
      <c r="C97" s="48" t="s">
        <v>29</v>
      </c>
      <c r="D97" s="162">
        <f t="shared" ref="D97:D110" si="1">E80/(D80+E80)</f>
        <v>0.79999999999999993</v>
      </c>
      <c r="F97" s="49" t="s">
        <v>32</v>
      </c>
      <c r="G97" s="162">
        <v>1</v>
      </c>
      <c r="H97" s="166">
        <v>2</v>
      </c>
    </row>
    <row r="98" spans="2:8" ht="14.5" thickBot="1" x14ac:dyDescent="0.4">
      <c r="B98" s="176"/>
      <c r="C98" s="144" t="s">
        <v>18</v>
      </c>
      <c r="D98" s="162">
        <f t="shared" si="1"/>
        <v>0.19999999999999998</v>
      </c>
      <c r="F98" s="152" t="s">
        <v>26</v>
      </c>
      <c r="G98" s="162">
        <v>1</v>
      </c>
      <c r="H98" s="166">
        <v>3</v>
      </c>
    </row>
    <row r="99" spans="2:8" ht="14.5" thickBot="1" x14ac:dyDescent="0.4">
      <c r="B99" s="176"/>
      <c r="C99" s="50" t="s">
        <v>24</v>
      </c>
      <c r="D99" s="162">
        <f t="shared" si="1"/>
        <v>0.19999999999999998</v>
      </c>
      <c r="F99" s="48" t="s">
        <v>23</v>
      </c>
      <c r="G99" s="162">
        <v>1</v>
      </c>
      <c r="H99" s="166">
        <v>4</v>
      </c>
    </row>
    <row r="100" spans="2:8" ht="14.5" thickBot="1" x14ac:dyDescent="0.4">
      <c r="B100" s="176"/>
      <c r="C100" s="50" t="s">
        <v>31</v>
      </c>
      <c r="D100" s="162">
        <f t="shared" si="1"/>
        <v>0</v>
      </c>
      <c r="F100" s="50" t="s">
        <v>22</v>
      </c>
      <c r="G100" s="162">
        <v>0.79999999999999993</v>
      </c>
      <c r="H100" s="166">
        <v>5</v>
      </c>
    </row>
    <row r="101" spans="2:8" ht="14.5" thickBot="1" x14ac:dyDescent="0.4">
      <c r="B101" s="176"/>
      <c r="C101" s="48" t="s">
        <v>25</v>
      </c>
      <c r="D101" s="162">
        <f t="shared" si="1"/>
        <v>0.19999999999999998</v>
      </c>
      <c r="F101" s="50" t="s">
        <v>29</v>
      </c>
      <c r="G101" s="162">
        <v>0.79999999999999993</v>
      </c>
      <c r="H101" s="166">
        <v>6</v>
      </c>
    </row>
    <row r="102" spans="2:8" ht="14.5" thickBot="1" x14ac:dyDescent="0.4">
      <c r="B102" s="176"/>
      <c r="C102" s="48" t="s">
        <v>27</v>
      </c>
      <c r="D102" s="162">
        <f t="shared" si="1"/>
        <v>1</v>
      </c>
      <c r="F102" s="48" t="s">
        <v>19</v>
      </c>
      <c r="G102" s="162">
        <v>0.79999999999999993</v>
      </c>
      <c r="H102" s="166">
        <v>7</v>
      </c>
    </row>
    <row r="103" spans="2:8" ht="14.5" thickBot="1" x14ac:dyDescent="0.4">
      <c r="B103" s="176"/>
      <c r="C103" s="50" t="s">
        <v>20</v>
      </c>
      <c r="D103" s="162">
        <f t="shared" si="1"/>
        <v>0.19999999999999998</v>
      </c>
      <c r="F103" s="50" t="s">
        <v>28</v>
      </c>
      <c r="G103" s="162">
        <v>0.79999999999999993</v>
      </c>
      <c r="H103" s="166">
        <v>8</v>
      </c>
    </row>
    <row r="104" spans="2:8" ht="14.5" thickBot="1" x14ac:dyDescent="0.4">
      <c r="B104" s="176"/>
      <c r="C104" s="48" t="s">
        <v>19</v>
      </c>
      <c r="D104" s="162">
        <f t="shared" si="1"/>
        <v>0.79999999999999993</v>
      </c>
      <c r="F104" s="48" t="s">
        <v>21</v>
      </c>
      <c r="G104" s="162">
        <v>0.79999999999999993</v>
      </c>
      <c r="H104" s="166">
        <v>9</v>
      </c>
    </row>
    <row r="105" spans="2:8" ht="14.5" thickBot="1" x14ac:dyDescent="0.4">
      <c r="B105" s="176"/>
      <c r="C105" s="50" t="s">
        <v>32</v>
      </c>
      <c r="D105" s="162">
        <f t="shared" si="1"/>
        <v>1</v>
      </c>
      <c r="F105" s="50" t="s">
        <v>18</v>
      </c>
      <c r="G105" s="162">
        <v>0.19999999999999998</v>
      </c>
      <c r="H105" s="166">
        <v>10</v>
      </c>
    </row>
    <row r="106" spans="2:8" ht="14.5" thickBot="1" x14ac:dyDescent="0.4">
      <c r="B106" s="176"/>
      <c r="C106" s="50" t="s">
        <v>26</v>
      </c>
      <c r="D106" s="162">
        <f t="shared" si="1"/>
        <v>1</v>
      </c>
      <c r="F106" s="48" t="s">
        <v>24</v>
      </c>
      <c r="G106" s="162">
        <v>0.19999999999999998</v>
      </c>
      <c r="H106" s="166">
        <v>11</v>
      </c>
    </row>
    <row r="107" spans="2:8" ht="14.5" thickBot="1" x14ac:dyDescent="0.4">
      <c r="B107" s="176"/>
      <c r="C107" s="48" t="s">
        <v>30</v>
      </c>
      <c r="D107" s="162">
        <f t="shared" si="1"/>
        <v>0</v>
      </c>
      <c r="F107" s="48" t="s">
        <v>25</v>
      </c>
      <c r="G107" s="162">
        <v>0.19999999999999998</v>
      </c>
      <c r="H107" s="166">
        <v>12</v>
      </c>
    </row>
    <row r="108" spans="2:8" ht="14.5" thickBot="1" x14ac:dyDescent="0.4">
      <c r="B108" s="176"/>
      <c r="C108" s="50" t="s">
        <v>28</v>
      </c>
      <c r="D108" s="162">
        <f t="shared" si="1"/>
        <v>0.79999999999999993</v>
      </c>
      <c r="F108" s="50" t="s">
        <v>20</v>
      </c>
      <c r="G108" s="162">
        <v>0.19999999999999998</v>
      </c>
      <c r="H108" s="166">
        <v>13</v>
      </c>
    </row>
    <row r="109" spans="2:8" ht="14.5" thickBot="1" x14ac:dyDescent="0.4">
      <c r="B109" s="176"/>
      <c r="C109" s="50" t="s">
        <v>23</v>
      </c>
      <c r="D109" s="162">
        <f t="shared" si="1"/>
        <v>1</v>
      </c>
      <c r="F109" s="48" t="s">
        <v>31</v>
      </c>
      <c r="G109" s="162">
        <v>0</v>
      </c>
      <c r="H109" s="166">
        <v>14</v>
      </c>
    </row>
    <row r="110" spans="2:8" ht="14.5" thickBot="1" x14ac:dyDescent="0.4">
      <c r="B110" s="177"/>
      <c r="C110" s="48" t="s">
        <v>21</v>
      </c>
      <c r="D110" s="206">
        <f t="shared" si="1"/>
        <v>0.79999999999999993</v>
      </c>
      <c r="F110" s="48" t="s">
        <v>30</v>
      </c>
      <c r="G110" s="206">
        <v>0</v>
      </c>
      <c r="H110" s="207">
        <v>15</v>
      </c>
    </row>
  </sheetData>
  <sortState xmlns:xlrd2="http://schemas.microsoft.com/office/spreadsheetml/2017/richdata2" ref="F96:G110">
    <sortCondition descending="1" ref="G96:G110"/>
  </sortState>
  <mergeCells count="10">
    <mergeCell ref="B44:B58"/>
    <mergeCell ref="B60:B74"/>
    <mergeCell ref="B79:B93"/>
    <mergeCell ref="B96:B110"/>
    <mergeCell ref="B2:C4"/>
    <mergeCell ref="B5:C5"/>
    <mergeCell ref="B6:B20"/>
    <mergeCell ref="B23:C25"/>
    <mergeCell ref="B26:C26"/>
    <mergeCell ref="B27:B41"/>
  </mergeCells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FCB5-B768-40C0-8E36-A2717184DF5C}">
  <dimension ref="B1:H110"/>
  <sheetViews>
    <sheetView topLeftCell="A89" zoomScale="64" zoomScaleNormal="80" workbookViewId="0">
      <selection activeCell="J108" sqref="J108"/>
    </sheetView>
  </sheetViews>
  <sheetFormatPr baseColWidth="10" defaultRowHeight="14" x14ac:dyDescent="0.35"/>
  <cols>
    <col min="1" max="1" width="10.90625" style="35"/>
    <col min="2" max="2" width="13.1796875" style="35" bestFit="1" customWidth="1"/>
    <col min="3" max="3" width="22.6328125" style="35" bestFit="1" customWidth="1"/>
    <col min="4" max="4" width="19.90625" style="35" bestFit="1" customWidth="1"/>
    <col min="5" max="5" width="17.453125" style="35" customWidth="1"/>
    <col min="6" max="6" width="19.453125" style="35" bestFit="1" customWidth="1"/>
    <col min="7" max="8" width="10.90625" style="35"/>
    <col min="9" max="9" width="11" style="35" bestFit="1" customWidth="1"/>
    <col min="10" max="16384" width="10.90625" style="35"/>
  </cols>
  <sheetData>
    <row r="1" spans="2:4" ht="14.5" thickBot="1" x14ac:dyDescent="0.4"/>
    <row r="2" spans="2:4" ht="14.5" thickBot="1" x14ac:dyDescent="0.4">
      <c r="B2" s="178" t="s">
        <v>40</v>
      </c>
      <c r="C2" s="179"/>
      <c r="D2" s="153" t="s">
        <v>1</v>
      </c>
    </row>
    <row r="3" spans="2:4" ht="14.5" thickBot="1" x14ac:dyDescent="0.4">
      <c r="B3" s="180"/>
      <c r="C3" s="181"/>
      <c r="D3" s="12" t="s">
        <v>4</v>
      </c>
    </row>
    <row r="4" spans="2:4" ht="28.5" thickBot="1" x14ac:dyDescent="0.4">
      <c r="B4" s="180"/>
      <c r="C4" s="181"/>
      <c r="D4" s="14" t="s">
        <v>37</v>
      </c>
    </row>
    <row r="5" spans="2:4" ht="14.5" thickBot="1" x14ac:dyDescent="0.4">
      <c r="B5" s="185" t="s">
        <v>52</v>
      </c>
      <c r="C5" s="186"/>
      <c r="D5" s="34">
        <v>1</v>
      </c>
    </row>
    <row r="6" spans="2:4" ht="14.5" thickBot="1" x14ac:dyDescent="0.4">
      <c r="B6" s="175" t="s">
        <v>0</v>
      </c>
      <c r="C6" s="48" t="s">
        <v>22</v>
      </c>
      <c r="D6" s="208">
        <v>322</v>
      </c>
    </row>
    <row r="7" spans="2:4" ht="14.5" thickBot="1" x14ac:dyDescent="0.4">
      <c r="B7" s="176"/>
      <c r="C7" s="48" t="s">
        <v>29</v>
      </c>
      <c r="D7" s="209">
        <v>81</v>
      </c>
    </row>
    <row r="8" spans="2:4" ht="14.5" thickBot="1" x14ac:dyDescent="0.4">
      <c r="B8" s="176"/>
      <c r="C8" s="35" t="s">
        <v>18</v>
      </c>
      <c r="D8" s="210">
        <v>122</v>
      </c>
    </row>
    <row r="9" spans="2:4" ht="14.5" thickBot="1" x14ac:dyDescent="0.4">
      <c r="B9" s="176"/>
      <c r="C9" s="50" t="s">
        <v>24</v>
      </c>
      <c r="D9" s="209">
        <v>894</v>
      </c>
    </row>
    <row r="10" spans="2:4" ht="14.5" thickBot="1" x14ac:dyDescent="0.4">
      <c r="B10" s="176"/>
      <c r="C10" s="50" t="s">
        <v>31</v>
      </c>
      <c r="D10" s="209">
        <v>84</v>
      </c>
    </row>
    <row r="11" spans="2:4" ht="14.5" thickBot="1" x14ac:dyDescent="0.4">
      <c r="B11" s="176"/>
      <c r="C11" s="48" t="s">
        <v>25</v>
      </c>
      <c r="D11" s="209">
        <v>41</v>
      </c>
    </row>
    <row r="12" spans="2:4" ht="14.5" thickBot="1" x14ac:dyDescent="0.4">
      <c r="B12" s="176"/>
      <c r="C12" s="48" t="s">
        <v>27</v>
      </c>
      <c r="D12" s="209">
        <v>404</v>
      </c>
    </row>
    <row r="13" spans="2:4" ht="14.5" thickBot="1" x14ac:dyDescent="0.4">
      <c r="B13" s="176"/>
      <c r="C13" s="50" t="s">
        <v>20</v>
      </c>
      <c r="D13" s="210">
        <v>70</v>
      </c>
    </row>
    <row r="14" spans="2:4" ht="14.5" thickBot="1" x14ac:dyDescent="0.4">
      <c r="B14" s="176"/>
      <c r="C14" s="48" t="s">
        <v>19</v>
      </c>
      <c r="D14" s="210">
        <v>289</v>
      </c>
    </row>
    <row r="15" spans="2:4" ht="14.5" thickBot="1" x14ac:dyDescent="0.4">
      <c r="B15" s="176"/>
      <c r="C15" s="50" t="s">
        <v>32</v>
      </c>
      <c r="D15" s="209">
        <v>799</v>
      </c>
    </row>
    <row r="16" spans="2:4" ht="14.5" thickBot="1" x14ac:dyDescent="0.4">
      <c r="B16" s="176"/>
      <c r="C16" s="50" t="s">
        <v>26</v>
      </c>
      <c r="D16" s="209">
        <v>3663</v>
      </c>
    </row>
    <row r="17" spans="2:4" ht="14.5" thickBot="1" x14ac:dyDescent="0.4">
      <c r="B17" s="176"/>
      <c r="C17" s="48" t="s">
        <v>30</v>
      </c>
      <c r="D17" s="209">
        <v>39</v>
      </c>
    </row>
    <row r="18" spans="2:4" ht="14.5" thickBot="1" x14ac:dyDescent="0.4">
      <c r="B18" s="176"/>
      <c r="C18" s="50" t="s">
        <v>28</v>
      </c>
      <c r="D18" s="209">
        <v>228</v>
      </c>
    </row>
    <row r="19" spans="2:4" ht="14.5" thickBot="1" x14ac:dyDescent="0.4">
      <c r="B19" s="176"/>
      <c r="C19" s="50" t="s">
        <v>23</v>
      </c>
      <c r="D19" s="210">
        <v>248</v>
      </c>
    </row>
    <row r="20" spans="2:4" ht="14.5" thickBot="1" x14ac:dyDescent="0.4">
      <c r="B20" s="177"/>
      <c r="C20" s="48" t="s">
        <v>21</v>
      </c>
      <c r="D20" s="211">
        <v>131</v>
      </c>
    </row>
    <row r="21" spans="2:4" x14ac:dyDescent="0.35">
      <c r="B21" s="196"/>
      <c r="C21" s="197" t="s">
        <v>7</v>
      </c>
      <c r="D21" s="216">
        <f>SUM(D6:D20)</f>
        <v>7415</v>
      </c>
    </row>
    <row r="22" spans="2:4" ht="14.5" thickBot="1" x14ac:dyDescent="0.4"/>
    <row r="23" spans="2:4" ht="14.5" customHeight="1" thickBot="1" x14ac:dyDescent="0.4">
      <c r="B23" s="178" t="s">
        <v>40</v>
      </c>
      <c r="C23" s="179"/>
      <c r="D23" s="153" t="s">
        <v>1</v>
      </c>
    </row>
    <row r="24" spans="2:4" ht="14.5" thickBot="1" x14ac:dyDescent="0.4">
      <c r="B24" s="180"/>
      <c r="C24" s="181"/>
      <c r="D24" s="12" t="s">
        <v>2</v>
      </c>
    </row>
    <row r="25" spans="2:4" ht="28.5" thickBot="1" x14ac:dyDescent="0.4">
      <c r="B25" s="180"/>
      <c r="C25" s="181"/>
      <c r="D25" s="14" t="s">
        <v>33</v>
      </c>
    </row>
    <row r="26" spans="2:4" ht="15" customHeight="1" thickBot="1" x14ac:dyDescent="0.4">
      <c r="B26" s="185" t="s">
        <v>52</v>
      </c>
      <c r="C26" s="186"/>
      <c r="D26" s="75">
        <v>1</v>
      </c>
    </row>
    <row r="27" spans="2:4" ht="14.5" thickBot="1" x14ac:dyDescent="0.4">
      <c r="B27" s="175" t="s">
        <v>0</v>
      </c>
      <c r="C27" s="48" t="s">
        <v>22</v>
      </c>
      <c r="D27" s="199">
        <f>D6/$D$21</f>
        <v>4.3425488873904246E-2</v>
      </c>
    </row>
    <row r="28" spans="2:4" ht="14.5" thickBot="1" x14ac:dyDescent="0.4">
      <c r="B28" s="176"/>
      <c r="C28" s="48" t="s">
        <v>29</v>
      </c>
      <c r="D28" s="201">
        <f t="shared" ref="D28:D41" si="0">D7/$D$21</f>
        <v>1.0923803101820635E-2</v>
      </c>
    </row>
    <row r="29" spans="2:4" ht="14.5" thickBot="1" x14ac:dyDescent="0.4">
      <c r="B29" s="176"/>
      <c r="C29" s="35" t="s">
        <v>18</v>
      </c>
      <c r="D29" s="201">
        <f t="shared" si="0"/>
        <v>1.6453135536075521E-2</v>
      </c>
    </row>
    <row r="30" spans="2:4" ht="14.5" thickBot="1" x14ac:dyDescent="0.4">
      <c r="B30" s="176"/>
      <c r="C30" s="50" t="s">
        <v>24</v>
      </c>
      <c r="D30" s="201">
        <f t="shared" si="0"/>
        <v>0.1205664194200944</v>
      </c>
    </row>
    <row r="31" spans="2:4" ht="14.5" thickBot="1" x14ac:dyDescent="0.4">
      <c r="B31" s="176"/>
      <c r="C31" s="50" t="s">
        <v>31</v>
      </c>
      <c r="D31" s="201">
        <f t="shared" si="0"/>
        <v>1.1328388401888064E-2</v>
      </c>
    </row>
    <row r="32" spans="2:4" ht="14.5" thickBot="1" x14ac:dyDescent="0.4">
      <c r="B32" s="176"/>
      <c r="C32" s="48" t="s">
        <v>25</v>
      </c>
      <c r="D32" s="201">
        <f t="shared" si="0"/>
        <v>5.5293324342548886E-3</v>
      </c>
    </row>
    <row r="33" spans="2:4" ht="14.5" thickBot="1" x14ac:dyDescent="0.4">
      <c r="B33" s="176"/>
      <c r="C33" s="48" t="s">
        <v>27</v>
      </c>
      <c r="D33" s="201">
        <f t="shared" si="0"/>
        <v>5.4484153742414027E-2</v>
      </c>
    </row>
    <row r="34" spans="2:4" ht="14.5" thickBot="1" x14ac:dyDescent="0.4">
      <c r="B34" s="176"/>
      <c r="C34" s="50" t="s">
        <v>20</v>
      </c>
      <c r="D34" s="201">
        <f t="shared" si="0"/>
        <v>9.440323668240054E-3</v>
      </c>
    </row>
    <row r="35" spans="2:4" ht="14.5" thickBot="1" x14ac:dyDescent="0.4">
      <c r="B35" s="176"/>
      <c r="C35" s="48" t="s">
        <v>19</v>
      </c>
      <c r="D35" s="201">
        <f t="shared" si="0"/>
        <v>3.8975050573162508E-2</v>
      </c>
    </row>
    <row r="36" spans="2:4" ht="14.5" customHeight="1" thickBot="1" x14ac:dyDescent="0.4">
      <c r="B36" s="176"/>
      <c r="C36" s="50" t="s">
        <v>32</v>
      </c>
      <c r="D36" s="201">
        <f t="shared" si="0"/>
        <v>0.10775455158462575</v>
      </c>
    </row>
    <row r="37" spans="2:4" ht="15" customHeight="1" thickBot="1" x14ac:dyDescent="0.4">
      <c r="B37" s="176"/>
      <c r="C37" s="50" t="s">
        <v>26</v>
      </c>
      <c r="D37" s="201">
        <f t="shared" si="0"/>
        <v>0.49399865138233312</v>
      </c>
    </row>
    <row r="38" spans="2:4" ht="15" customHeight="1" thickBot="1" x14ac:dyDescent="0.4">
      <c r="B38" s="176"/>
      <c r="C38" s="48" t="s">
        <v>30</v>
      </c>
      <c r="D38" s="201">
        <f t="shared" si="0"/>
        <v>5.2596089008766014E-3</v>
      </c>
    </row>
    <row r="39" spans="2:4" ht="14.5" thickBot="1" x14ac:dyDescent="0.4">
      <c r="B39" s="176"/>
      <c r="C39" s="50" t="s">
        <v>28</v>
      </c>
      <c r="D39" s="201">
        <f t="shared" si="0"/>
        <v>3.0748482805124749E-2</v>
      </c>
    </row>
    <row r="40" spans="2:4" ht="14.5" thickBot="1" x14ac:dyDescent="0.4">
      <c r="B40" s="176"/>
      <c r="C40" s="50" t="s">
        <v>23</v>
      </c>
      <c r="D40" s="201">
        <f t="shared" si="0"/>
        <v>3.3445718138907621E-2</v>
      </c>
    </row>
    <row r="41" spans="2:4" ht="14.5" thickBot="1" x14ac:dyDescent="0.4">
      <c r="B41" s="177"/>
      <c r="C41" s="48" t="s">
        <v>21</v>
      </c>
      <c r="D41" s="202">
        <f t="shared" si="0"/>
        <v>1.7666891436277816E-2</v>
      </c>
    </row>
    <row r="42" spans="2:4" x14ac:dyDescent="0.35">
      <c r="B42" s="1"/>
      <c r="C42" s="154"/>
      <c r="D42" s="101" cm="1">
        <f t="array" ref="D42">SQRT(SUMPRODUCT(D27:D41^2))</f>
        <v>0.52876956385295115</v>
      </c>
    </row>
    <row r="43" spans="2:4" ht="14.5" thickBot="1" x14ac:dyDescent="0.4"/>
    <row r="44" spans="2:4" ht="14.5" thickBot="1" x14ac:dyDescent="0.4">
      <c r="B44" s="175" t="s">
        <v>0</v>
      </c>
      <c r="C44" s="48" t="s">
        <v>22</v>
      </c>
      <c r="D44" s="199">
        <f>D27/D$42</f>
        <v>8.2125545497510347E-2</v>
      </c>
    </row>
    <row r="45" spans="2:4" ht="14.5" thickBot="1" x14ac:dyDescent="0.4">
      <c r="B45" s="176"/>
      <c r="C45" s="48" t="s">
        <v>29</v>
      </c>
      <c r="D45" s="200">
        <f>D28/D$42</f>
        <v>2.065891051334888E-2</v>
      </c>
    </row>
    <row r="46" spans="2:4" ht="14.5" thickBot="1" x14ac:dyDescent="0.4">
      <c r="B46" s="176"/>
      <c r="C46" s="144" t="s">
        <v>18</v>
      </c>
      <c r="D46" s="200">
        <f>D29/D$42</f>
        <v>3.1115889908994606E-2</v>
      </c>
    </row>
    <row r="47" spans="2:4" ht="14.5" thickBot="1" x14ac:dyDescent="0.4">
      <c r="B47" s="176"/>
      <c r="C47" s="50" t="s">
        <v>24</v>
      </c>
      <c r="D47" s="200">
        <f>D30/D$42</f>
        <v>0.22801316048066539</v>
      </c>
    </row>
    <row r="48" spans="2:4" ht="14.5" thickBot="1" x14ac:dyDescent="0.4">
      <c r="B48" s="176"/>
      <c r="C48" s="50" t="s">
        <v>31</v>
      </c>
      <c r="D48" s="200">
        <f>D31/D$42</f>
        <v>2.1424055347176615E-2</v>
      </c>
    </row>
    <row r="49" spans="2:5" ht="14.5" thickBot="1" x14ac:dyDescent="0.4">
      <c r="B49" s="176"/>
      <c r="C49" s="48" t="s">
        <v>25</v>
      </c>
      <c r="D49" s="200">
        <f>D32/D$42</f>
        <v>1.0456979395645728E-2</v>
      </c>
    </row>
    <row r="50" spans="2:5" ht="14.5" thickBot="1" x14ac:dyDescent="0.4">
      <c r="B50" s="176"/>
      <c r="C50" s="48" t="s">
        <v>27</v>
      </c>
      <c r="D50" s="200">
        <f>D33/D$42</f>
        <v>0.10303950428880182</v>
      </c>
    </row>
    <row r="51" spans="2:5" ht="14.5" thickBot="1" x14ac:dyDescent="0.4">
      <c r="B51" s="176"/>
      <c r="C51" s="50" t="s">
        <v>20</v>
      </c>
      <c r="D51" s="200">
        <f>D34/D$42</f>
        <v>1.7853379455980513E-2</v>
      </c>
    </row>
    <row r="52" spans="2:5" ht="14.5" thickBot="1" x14ac:dyDescent="0.4">
      <c r="B52" s="176"/>
      <c r="C52" s="48" t="s">
        <v>19</v>
      </c>
      <c r="D52" s="200">
        <f>D35/D$42</f>
        <v>7.3708952325405253E-2</v>
      </c>
    </row>
    <row r="53" spans="2:5" ht="14.5" thickBot="1" x14ac:dyDescent="0.4">
      <c r="B53" s="176"/>
      <c r="C53" s="50" t="s">
        <v>32</v>
      </c>
      <c r="D53" s="200">
        <f>D36/D$42</f>
        <v>0.20378357407612041</v>
      </c>
    </row>
    <row r="54" spans="2:5" ht="14.5" thickBot="1" x14ac:dyDescent="0.4">
      <c r="B54" s="176"/>
      <c r="C54" s="50" t="s">
        <v>26</v>
      </c>
      <c r="D54" s="200">
        <f>D37/D$42</f>
        <v>0.93424184210366601</v>
      </c>
    </row>
    <row r="55" spans="2:5" ht="14.5" thickBot="1" x14ac:dyDescent="0.4">
      <c r="B55" s="176"/>
      <c r="C55" s="48" t="s">
        <v>30</v>
      </c>
      <c r="D55" s="200">
        <f>D38/D$42</f>
        <v>9.9468828397605707E-3</v>
      </c>
    </row>
    <row r="56" spans="2:5" ht="14.5" thickBot="1" x14ac:dyDescent="0.4">
      <c r="B56" s="176"/>
      <c r="C56" s="50" t="s">
        <v>28</v>
      </c>
      <c r="D56" s="200">
        <f>D39/D$42</f>
        <v>5.8151007370907962E-2</v>
      </c>
    </row>
    <row r="57" spans="2:5" ht="14.5" thickBot="1" x14ac:dyDescent="0.4">
      <c r="B57" s="176"/>
      <c r="C57" s="50" t="s">
        <v>23</v>
      </c>
      <c r="D57" s="200">
        <f>D40/D$42</f>
        <v>6.3251972929759537E-2</v>
      </c>
    </row>
    <row r="58" spans="2:5" ht="14.5" thickBot="1" x14ac:dyDescent="0.4">
      <c r="B58" s="177"/>
      <c r="C58" s="48" t="s">
        <v>21</v>
      </c>
      <c r="D58" s="204">
        <f>D41/D$42</f>
        <v>3.3411324410477818E-2</v>
      </c>
      <c r="E58" s="134"/>
    </row>
    <row r="59" spans="2:5" ht="14.5" thickBot="1" x14ac:dyDescent="0.4"/>
    <row r="60" spans="2:5" ht="14.5" thickBot="1" x14ac:dyDescent="0.4">
      <c r="B60" s="175" t="s">
        <v>0</v>
      </c>
      <c r="C60" s="48" t="s">
        <v>22</v>
      </c>
      <c r="D60" s="199">
        <f>D44*D$26</f>
        <v>8.2125545497510347E-2</v>
      </c>
    </row>
    <row r="61" spans="2:5" ht="14.5" thickBot="1" x14ac:dyDescent="0.4">
      <c r="B61" s="176"/>
      <c r="C61" s="48" t="s">
        <v>29</v>
      </c>
      <c r="D61" s="200">
        <f>D45*D$26</f>
        <v>2.065891051334888E-2</v>
      </c>
    </row>
    <row r="62" spans="2:5" ht="14.5" thickBot="1" x14ac:dyDescent="0.4">
      <c r="B62" s="176"/>
      <c r="C62" s="144" t="s">
        <v>18</v>
      </c>
      <c r="D62" s="200">
        <f>D46*D$26</f>
        <v>3.1115889908994606E-2</v>
      </c>
    </row>
    <row r="63" spans="2:5" ht="14.5" thickBot="1" x14ac:dyDescent="0.4">
      <c r="B63" s="176"/>
      <c r="C63" s="50" t="s">
        <v>24</v>
      </c>
      <c r="D63" s="200">
        <f>D47*D$26</f>
        <v>0.22801316048066539</v>
      </c>
    </row>
    <row r="64" spans="2:5" ht="14.5" thickBot="1" x14ac:dyDescent="0.4">
      <c r="B64" s="176"/>
      <c r="C64" s="50" t="s">
        <v>31</v>
      </c>
      <c r="D64" s="200">
        <f>D48*D$26</f>
        <v>2.1424055347176615E-2</v>
      </c>
    </row>
    <row r="65" spans="2:5" ht="14.5" thickBot="1" x14ac:dyDescent="0.4">
      <c r="B65" s="176"/>
      <c r="C65" s="48" t="s">
        <v>25</v>
      </c>
      <c r="D65" s="200">
        <f>D49*D$26</f>
        <v>1.0456979395645728E-2</v>
      </c>
    </row>
    <row r="66" spans="2:5" ht="14.5" thickBot="1" x14ac:dyDescent="0.4">
      <c r="B66" s="176"/>
      <c r="C66" s="48" t="s">
        <v>27</v>
      </c>
      <c r="D66" s="200">
        <f>D50*D$26</f>
        <v>0.10303950428880182</v>
      </c>
    </row>
    <row r="67" spans="2:5" ht="14.5" thickBot="1" x14ac:dyDescent="0.4">
      <c r="B67" s="176"/>
      <c r="C67" s="50" t="s">
        <v>20</v>
      </c>
      <c r="D67" s="200">
        <f>D51*D$26</f>
        <v>1.7853379455980513E-2</v>
      </c>
    </row>
    <row r="68" spans="2:5" ht="14.5" thickBot="1" x14ac:dyDescent="0.4">
      <c r="B68" s="176"/>
      <c r="C68" s="48" t="s">
        <v>19</v>
      </c>
      <c r="D68" s="200">
        <f>D52*D$26</f>
        <v>7.3708952325405253E-2</v>
      </c>
    </row>
    <row r="69" spans="2:5" ht="14.5" thickBot="1" x14ac:dyDescent="0.4">
      <c r="B69" s="176"/>
      <c r="C69" s="50" t="s">
        <v>32</v>
      </c>
      <c r="D69" s="200">
        <f>D53*D$26</f>
        <v>0.20378357407612041</v>
      </c>
    </row>
    <row r="70" spans="2:5" ht="14.5" thickBot="1" x14ac:dyDescent="0.4">
      <c r="B70" s="176"/>
      <c r="C70" s="50" t="s">
        <v>26</v>
      </c>
      <c r="D70" s="200">
        <f>D54*D$26</f>
        <v>0.93424184210366601</v>
      </c>
    </row>
    <row r="71" spans="2:5" ht="14.5" thickBot="1" x14ac:dyDescent="0.4">
      <c r="B71" s="176"/>
      <c r="C71" s="48" t="s">
        <v>30</v>
      </c>
      <c r="D71" s="200">
        <f>D55*D$26</f>
        <v>9.9468828397605707E-3</v>
      </c>
    </row>
    <row r="72" spans="2:5" ht="14.5" thickBot="1" x14ac:dyDescent="0.4">
      <c r="B72" s="176"/>
      <c r="C72" s="50" t="s">
        <v>28</v>
      </c>
      <c r="D72" s="200">
        <f>D56*D$26</f>
        <v>5.8151007370907962E-2</v>
      </c>
    </row>
    <row r="73" spans="2:5" ht="14.5" thickBot="1" x14ac:dyDescent="0.4">
      <c r="B73" s="176"/>
      <c r="C73" s="50" t="s">
        <v>23</v>
      </c>
      <c r="D73" s="200">
        <f>D57*D$26</f>
        <v>6.3251972929759537E-2</v>
      </c>
    </row>
    <row r="74" spans="2:5" ht="14.5" thickBot="1" x14ac:dyDescent="0.4">
      <c r="B74" s="177"/>
      <c r="C74" s="48" t="s">
        <v>21</v>
      </c>
      <c r="D74" s="205">
        <f>D58*D$26</f>
        <v>3.3411324410477818E-2</v>
      </c>
    </row>
    <row r="75" spans="2:5" ht="14.5" thickBot="1" x14ac:dyDescent="0.4">
      <c r="C75" s="49" t="s">
        <v>54</v>
      </c>
      <c r="D75" s="162">
        <f>MAX(D60:D74)</f>
        <v>0.93424184210366601</v>
      </c>
    </row>
    <row r="76" spans="2:5" ht="14.5" thickBot="1" x14ac:dyDescent="0.4">
      <c r="C76" s="156" t="s">
        <v>55</v>
      </c>
      <c r="D76" s="164">
        <f>MIN(D60:D74)</f>
        <v>9.9468828397605707E-3</v>
      </c>
    </row>
    <row r="77" spans="2:5" ht="14.5" thickBot="1" x14ac:dyDescent="0.4">
      <c r="D77" s="134"/>
    </row>
    <row r="78" spans="2:5" ht="15" customHeight="1" thickBot="1" x14ac:dyDescent="0.4">
      <c r="D78" s="49" t="s">
        <v>57</v>
      </c>
      <c r="E78" s="143" t="s">
        <v>58</v>
      </c>
    </row>
    <row r="79" spans="2:5" ht="14.5" thickBot="1" x14ac:dyDescent="0.4">
      <c r="B79" s="175" t="s">
        <v>0</v>
      </c>
      <c r="C79" s="48" t="s">
        <v>22</v>
      </c>
      <c r="D79" s="36">
        <f>(D60-D$75)^2</f>
        <v>0.72610218294178974</v>
      </c>
      <c r="E79" s="199">
        <f>(D60-D$76)^2</f>
        <v>5.2097593430612422E-3</v>
      </c>
    </row>
    <row r="80" spans="2:5" ht="14.5" thickBot="1" x14ac:dyDescent="0.4">
      <c r="B80" s="176"/>
      <c r="C80" s="48" t="s">
        <v>29</v>
      </c>
      <c r="D80" s="56">
        <f>(D61-D$75)^2</f>
        <v>0.83463377289315799</v>
      </c>
      <c r="E80" s="200">
        <f>(D61-D$76)^2</f>
        <v>1.1474753687972176E-4</v>
      </c>
    </row>
    <row r="81" spans="2:8" ht="14.5" thickBot="1" x14ac:dyDescent="0.4">
      <c r="B81" s="176"/>
      <c r="C81" s="144" t="s">
        <v>18</v>
      </c>
      <c r="D81" s="56">
        <f>(D62-D$75)^2</f>
        <v>0.81563648552753187</v>
      </c>
      <c r="E81" s="200">
        <f>(D62-D$76)^2</f>
        <v>4.4812686029728054E-4</v>
      </c>
    </row>
    <row r="82" spans="2:8" ht="14.5" thickBot="1" x14ac:dyDescent="0.4">
      <c r="B82" s="176"/>
      <c r="C82" s="50" t="s">
        <v>24</v>
      </c>
      <c r="D82" s="56">
        <f>(D63-D$75)^2</f>
        <v>0.49875895074696147</v>
      </c>
      <c r="E82" s="200">
        <f>(D63-D$76)^2</f>
        <v>4.7552901444160176E-2</v>
      </c>
    </row>
    <row r="83" spans="2:8" ht="14.5" thickBot="1" x14ac:dyDescent="0.4">
      <c r="B83" s="176"/>
      <c r="C83" s="50" t="s">
        <v>31</v>
      </c>
      <c r="D83" s="56">
        <f>(D64-D$75)^2</f>
        <v>0.8332363118190157</v>
      </c>
      <c r="E83" s="200">
        <f>(D64-D$76)^2</f>
        <v>1.3172548876498667E-4</v>
      </c>
    </row>
    <row r="84" spans="2:8" ht="14.5" thickBot="1" x14ac:dyDescent="0.4">
      <c r="B84" s="176"/>
      <c r="C84" s="48" t="s">
        <v>25</v>
      </c>
      <c r="D84" s="56">
        <f>(D65-D$75)^2</f>
        <v>0.85337847256847588</v>
      </c>
      <c r="E84" s="200">
        <f>(D65-D$76)^2</f>
        <v>2.6019849632589927E-7</v>
      </c>
    </row>
    <row r="85" spans="2:8" ht="14.5" thickBot="1" x14ac:dyDescent="0.4">
      <c r="B85" s="176"/>
      <c r="C85" s="48" t="s">
        <v>27</v>
      </c>
      <c r="D85" s="56">
        <f>(D66-D$75)^2</f>
        <v>0.69089732638889556</v>
      </c>
      <c r="E85" s="200">
        <f>(D66-D$76)^2</f>
        <v>8.6662361682544944E-3</v>
      </c>
    </row>
    <row r="86" spans="2:8" ht="14.5" thickBot="1" x14ac:dyDescent="0.4">
      <c r="B86" s="176"/>
      <c r="C86" s="50" t="s">
        <v>20</v>
      </c>
      <c r="D86" s="56">
        <f>(D67-D$75)^2</f>
        <v>0.83976781447378845</v>
      </c>
      <c r="E86" s="200">
        <f>(D67-D$76)^2</f>
        <v>6.2512688742297394E-5</v>
      </c>
    </row>
    <row r="87" spans="2:8" ht="14.5" thickBot="1" x14ac:dyDescent="0.4">
      <c r="B87" s="176"/>
      <c r="C87" s="48" t="s">
        <v>19</v>
      </c>
      <c r="D87" s="56">
        <f>(D68-D$75)^2</f>
        <v>0.74051685439012416</v>
      </c>
      <c r="E87" s="200">
        <f>(D68-D$76)^2</f>
        <v>4.065601505092181E-3</v>
      </c>
    </row>
    <row r="88" spans="2:8" ht="14.5" thickBot="1" x14ac:dyDescent="0.4">
      <c r="B88" s="176"/>
      <c r="C88" s="50" t="s">
        <v>32</v>
      </c>
      <c r="D88" s="56">
        <f>(D69-D$75)^2</f>
        <v>0.53356928132980153</v>
      </c>
      <c r="E88" s="200">
        <f>(D69-D$76)^2</f>
        <v>3.7572662869459893E-2</v>
      </c>
    </row>
    <row r="89" spans="2:8" ht="14.5" thickBot="1" x14ac:dyDescent="0.4">
      <c r="B89" s="176"/>
      <c r="C89" s="50" t="s">
        <v>26</v>
      </c>
      <c r="D89" s="56">
        <f>(D70-D$75)^2</f>
        <v>0</v>
      </c>
      <c r="E89" s="200">
        <f>(D70-D$76)^2</f>
        <v>0.85432117172066468</v>
      </c>
    </row>
    <row r="90" spans="2:8" ht="14.5" thickBot="1" x14ac:dyDescent="0.4">
      <c r="B90" s="176"/>
      <c r="C90" s="48" t="s">
        <v>30</v>
      </c>
      <c r="D90" s="56">
        <f>(D71-D$75)^2</f>
        <v>0.85432117172066468</v>
      </c>
      <c r="E90" s="200">
        <f>(D71-D$76)^2</f>
        <v>0</v>
      </c>
    </row>
    <row r="91" spans="2:8" ht="14.5" thickBot="1" x14ac:dyDescent="0.4">
      <c r="B91" s="176"/>
      <c r="C91" s="50" t="s">
        <v>28</v>
      </c>
      <c r="D91" s="56">
        <f>(D72-D$75)^2</f>
        <v>0.76753515070274081</v>
      </c>
      <c r="E91" s="200">
        <f>(D72-D$76)^2</f>
        <v>2.3236376218143655E-3</v>
      </c>
    </row>
    <row r="92" spans="2:8" ht="14.5" thickBot="1" x14ac:dyDescent="0.4">
      <c r="B92" s="176"/>
      <c r="C92" s="50" t="s">
        <v>23</v>
      </c>
      <c r="D92" s="56">
        <f>(D73-D$75)^2</f>
        <v>0.75862335220357857</v>
      </c>
      <c r="E92" s="200">
        <f>(D73-D$76)^2</f>
        <v>2.841432629502906E-3</v>
      </c>
    </row>
    <row r="93" spans="2:8" ht="14.5" thickBot="1" x14ac:dyDescent="0.4">
      <c r="B93" s="177"/>
      <c r="C93" s="48" t="s">
        <v>21</v>
      </c>
      <c r="D93" s="57">
        <f>(D74-D$75)^2</f>
        <v>0.81149562160737754</v>
      </c>
      <c r="E93" s="204">
        <f>(D74-D$76)^2</f>
        <v>5.505800182256037E-4</v>
      </c>
    </row>
    <row r="94" spans="2:8" ht="14.5" thickBot="1" x14ac:dyDescent="0.4"/>
    <row r="95" spans="2:8" ht="14.5" thickBot="1" x14ac:dyDescent="0.4">
      <c r="D95" s="155" t="s">
        <v>59</v>
      </c>
      <c r="F95" s="197"/>
      <c r="G95" s="155" t="s">
        <v>60</v>
      </c>
      <c r="H95" s="155" t="s">
        <v>53</v>
      </c>
    </row>
    <row r="96" spans="2:8" ht="14.5" thickBot="1" x14ac:dyDescent="0.4">
      <c r="B96" s="175" t="s">
        <v>0</v>
      </c>
      <c r="C96" s="48" t="s">
        <v>22</v>
      </c>
      <c r="D96" s="162">
        <f>E79/(D79+E79)</f>
        <v>7.1238537781624324E-3</v>
      </c>
      <c r="F96" s="50" t="s">
        <v>26</v>
      </c>
      <c r="G96" s="162">
        <v>1</v>
      </c>
      <c r="H96" s="166">
        <v>1</v>
      </c>
    </row>
    <row r="97" spans="2:8" ht="14.5" thickBot="1" x14ac:dyDescent="0.4">
      <c r="B97" s="176"/>
      <c r="C97" s="48" t="s">
        <v>29</v>
      </c>
      <c r="D97" s="162">
        <f t="shared" ref="D97:D110" si="1">E80/(D80+E80)</f>
        <v>1.3746360019974306E-4</v>
      </c>
      <c r="F97" s="50" t="s">
        <v>24</v>
      </c>
      <c r="G97" s="162">
        <v>8.7043510503089491E-2</v>
      </c>
      <c r="H97" s="166">
        <v>2</v>
      </c>
    </row>
    <row r="98" spans="2:8" ht="14.5" thickBot="1" x14ac:dyDescent="0.4">
      <c r="B98" s="176"/>
      <c r="C98" s="144" t="s">
        <v>18</v>
      </c>
      <c r="D98" s="162">
        <f t="shared" si="1"/>
        <v>5.4911813492730893E-4</v>
      </c>
      <c r="F98" s="152" t="s">
        <v>32</v>
      </c>
      <c r="G98" s="162">
        <v>6.5785157702148114E-2</v>
      </c>
      <c r="H98" s="166">
        <v>3</v>
      </c>
    </row>
    <row r="99" spans="2:8" ht="14.5" thickBot="1" x14ac:dyDescent="0.4">
      <c r="B99" s="176"/>
      <c r="C99" s="50" t="s">
        <v>24</v>
      </c>
      <c r="D99" s="162">
        <f t="shared" si="1"/>
        <v>8.7043510503089491E-2</v>
      </c>
      <c r="F99" s="48" t="s">
        <v>27</v>
      </c>
      <c r="G99" s="162">
        <v>1.2388061117100444E-2</v>
      </c>
      <c r="H99" s="166">
        <v>4</v>
      </c>
    </row>
    <row r="100" spans="2:8" ht="14.5" thickBot="1" x14ac:dyDescent="0.4">
      <c r="B100" s="176"/>
      <c r="C100" s="50" t="s">
        <v>31</v>
      </c>
      <c r="D100" s="162">
        <f t="shared" si="1"/>
        <v>1.5806400397899785E-4</v>
      </c>
      <c r="F100" s="48" t="s">
        <v>22</v>
      </c>
      <c r="G100" s="162">
        <v>7.1238537781624324E-3</v>
      </c>
      <c r="H100" s="166">
        <v>5</v>
      </c>
    </row>
    <row r="101" spans="2:8" ht="14.5" thickBot="1" x14ac:dyDescent="0.4">
      <c r="B101" s="176"/>
      <c r="C101" s="48" t="s">
        <v>25</v>
      </c>
      <c r="D101" s="162">
        <f t="shared" si="1"/>
        <v>3.0490389124444044E-7</v>
      </c>
      <c r="F101" s="48" t="s">
        <v>19</v>
      </c>
      <c r="G101" s="162">
        <v>5.4602434866721132E-3</v>
      </c>
      <c r="H101" s="166">
        <v>6</v>
      </c>
    </row>
    <row r="102" spans="2:8" ht="14.5" thickBot="1" x14ac:dyDescent="0.4">
      <c r="B102" s="176"/>
      <c r="C102" s="48" t="s">
        <v>27</v>
      </c>
      <c r="D102" s="162">
        <f t="shared" si="1"/>
        <v>1.2388061117100444E-2</v>
      </c>
      <c r="F102" s="50" t="s">
        <v>23</v>
      </c>
      <c r="G102" s="162">
        <v>3.7315351754917576E-3</v>
      </c>
      <c r="H102" s="166">
        <v>7</v>
      </c>
    </row>
    <row r="103" spans="2:8" ht="14.5" thickBot="1" x14ac:dyDescent="0.4">
      <c r="B103" s="176"/>
      <c r="C103" s="50" t="s">
        <v>20</v>
      </c>
      <c r="D103" s="162">
        <f t="shared" si="1"/>
        <v>7.4434902766019585E-5</v>
      </c>
      <c r="F103" s="50" t="s">
        <v>28</v>
      </c>
      <c r="G103" s="162">
        <v>3.0182647221204057E-3</v>
      </c>
      <c r="H103" s="166">
        <v>8</v>
      </c>
    </row>
    <row r="104" spans="2:8" ht="14.5" thickBot="1" x14ac:dyDescent="0.4">
      <c r="B104" s="176"/>
      <c r="C104" s="48" t="s">
        <v>19</v>
      </c>
      <c r="D104" s="162">
        <f t="shared" si="1"/>
        <v>5.4602434866721132E-3</v>
      </c>
      <c r="F104" s="48" t="s">
        <v>21</v>
      </c>
      <c r="G104" s="162">
        <v>6.7801563152862401E-4</v>
      </c>
      <c r="H104" s="166">
        <v>9</v>
      </c>
    </row>
    <row r="105" spans="2:8" ht="14.5" thickBot="1" x14ac:dyDescent="0.4">
      <c r="B105" s="176"/>
      <c r="C105" s="50" t="s">
        <v>32</v>
      </c>
      <c r="D105" s="162">
        <f t="shared" si="1"/>
        <v>6.5785157702148114E-2</v>
      </c>
      <c r="F105" s="49" t="s">
        <v>18</v>
      </c>
      <c r="G105" s="162">
        <v>5.4911813492730893E-4</v>
      </c>
      <c r="H105" s="166">
        <v>10</v>
      </c>
    </row>
    <row r="106" spans="2:8" ht="14.5" thickBot="1" x14ac:dyDescent="0.4">
      <c r="B106" s="176"/>
      <c r="C106" s="50" t="s">
        <v>26</v>
      </c>
      <c r="D106" s="162">
        <f t="shared" si="1"/>
        <v>1</v>
      </c>
      <c r="F106" s="50" t="s">
        <v>31</v>
      </c>
      <c r="G106" s="162">
        <v>1.5806400397899785E-4</v>
      </c>
      <c r="H106" s="166">
        <v>11</v>
      </c>
    </row>
    <row r="107" spans="2:8" ht="14.5" thickBot="1" x14ac:dyDescent="0.4">
      <c r="B107" s="176"/>
      <c r="C107" s="48" t="s">
        <v>30</v>
      </c>
      <c r="D107" s="162">
        <f t="shared" si="1"/>
        <v>0</v>
      </c>
      <c r="F107" s="48" t="s">
        <v>29</v>
      </c>
      <c r="G107" s="162">
        <v>1.3746360019974306E-4</v>
      </c>
      <c r="H107" s="166">
        <v>12</v>
      </c>
    </row>
    <row r="108" spans="2:8" ht="14.5" thickBot="1" x14ac:dyDescent="0.4">
      <c r="B108" s="176"/>
      <c r="C108" s="50" t="s">
        <v>28</v>
      </c>
      <c r="D108" s="162">
        <f t="shared" si="1"/>
        <v>3.0182647221204057E-3</v>
      </c>
      <c r="F108" s="50" t="s">
        <v>20</v>
      </c>
      <c r="G108" s="162">
        <v>7.4434902766019585E-5</v>
      </c>
      <c r="H108" s="166">
        <v>13</v>
      </c>
    </row>
    <row r="109" spans="2:8" ht="14.5" thickBot="1" x14ac:dyDescent="0.4">
      <c r="B109" s="176"/>
      <c r="C109" s="50" t="s">
        <v>23</v>
      </c>
      <c r="D109" s="162">
        <f t="shared" si="1"/>
        <v>3.7315351754917576E-3</v>
      </c>
      <c r="F109" s="48" t="s">
        <v>25</v>
      </c>
      <c r="G109" s="162">
        <v>3.0490389124444044E-7</v>
      </c>
      <c r="H109" s="166">
        <v>14</v>
      </c>
    </row>
    <row r="110" spans="2:8" ht="14.5" thickBot="1" x14ac:dyDescent="0.4">
      <c r="B110" s="177"/>
      <c r="C110" s="48" t="s">
        <v>21</v>
      </c>
      <c r="D110" s="206">
        <f t="shared" si="1"/>
        <v>6.7801563152862401E-4</v>
      </c>
      <c r="F110" s="48" t="s">
        <v>30</v>
      </c>
      <c r="G110" s="206">
        <v>0</v>
      </c>
      <c r="H110" s="207">
        <v>15</v>
      </c>
    </row>
  </sheetData>
  <sortState xmlns:xlrd2="http://schemas.microsoft.com/office/spreadsheetml/2017/richdata2" ref="F96:G110">
    <sortCondition descending="1" ref="G96:G110"/>
  </sortState>
  <mergeCells count="10">
    <mergeCell ref="B44:B58"/>
    <mergeCell ref="B60:B74"/>
    <mergeCell ref="B79:B93"/>
    <mergeCell ref="B96:B110"/>
    <mergeCell ref="B2:C4"/>
    <mergeCell ref="B5:C5"/>
    <mergeCell ref="B6:B20"/>
    <mergeCell ref="B23:C25"/>
    <mergeCell ref="B26:C26"/>
    <mergeCell ref="B27:B41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D047-9FE6-49DB-83AC-5DC90F9F0A76}">
  <dimension ref="B1:Q49"/>
  <sheetViews>
    <sheetView tabSelected="1" topLeftCell="A17" zoomScale="50" zoomScaleNormal="80" workbookViewId="0">
      <selection activeCell="M51" sqref="M51"/>
    </sheetView>
  </sheetViews>
  <sheetFormatPr baseColWidth="10" defaultRowHeight="14" x14ac:dyDescent="0.35"/>
  <cols>
    <col min="1" max="1" width="10.90625" style="35"/>
    <col min="2" max="2" width="13.1796875" style="35" bestFit="1" customWidth="1"/>
    <col min="3" max="3" width="22.6328125" style="35" bestFit="1" customWidth="1"/>
    <col min="4" max="8" width="15.6328125" style="35" customWidth="1"/>
    <col min="9" max="9" width="11" style="35" bestFit="1" customWidth="1"/>
    <col min="10" max="10" width="12.26953125" style="35" bestFit="1" customWidth="1"/>
    <col min="11" max="12" width="11.6328125" style="35" bestFit="1" customWidth="1"/>
    <col min="13" max="13" width="11" style="35" bestFit="1" customWidth="1"/>
    <col min="14" max="14" width="16.26953125" style="35" bestFit="1" customWidth="1"/>
    <col min="15" max="15" width="3.26953125" style="35" customWidth="1"/>
    <col min="16" max="16" width="16" style="35" bestFit="1" customWidth="1"/>
    <col min="17" max="18" width="10.90625" style="35"/>
    <col min="19" max="19" width="11" style="35" bestFit="1" customWidth="1"/>
    <col min="20" max="16384" width="10.90625" style="35"/>
  </cols>
  <sheetData>
    <row r="1" spans="2:17" ht="14.5" thickBot="1" x14ac:dyDescent="0.4"/>
    <row r="2" spans="2:17" ht="14.5" thickBot="1" x14ac:dyDescent="0.4">
      <c r="B2" s="178" t="s">
        <v>40</v>
      </c>
      <c r="C2" s="179"/>
      <c r="D2" s="182" t="s">
        <v>1</v>
      </c>
      <c r="E2" s="183"/>
      <c r="F2" s="183"/>
      <c r="G2" s="183"/>
      <c r="H2" s="184"/>
    </row>
    <row r="3" spans="2:17" ht="14.5" thickBot="1" x14ac:dyDescent="0.4">
      <c r="B3" s="180"/>
      <c r="C3" s="181"/>
      <c r="D3" s="12" t="s">
        <v>2</v>
      </c>
      <c r="E3" s="12" t="s">
        <v>6</v>
      </c>
      <c r="F3" s="12" t="s">
        <v>3</v>
      </c>
      <c r="G3" s="12" t="s">
        <v>5</v>
      </c>
      <c r="H3" s="12" t="s">
        <v>4</v>
      </c>
    </row>
    <row r="4" spans="2:17" ht="56.5" thickBot="1" x14ac:dyDescent="0.4">
      <c r="B4" s="190"/>
      <c r="C4" s="191"/>
      <c r="D4" s="14" t="s">
        <v>33</v>
      </c>
      <c r="E4" s="14" t="s">
        <v>34</v>
      </c>
      <c r="F4" s="14" t="s">
        <v>35</v>
      </c>
      <c r="G4" s="14" t="s">
        <v>36</v>
      </c>
      <c r="H4" s="14" t="s">
        <v>37</v>
      </c>
    </row>
    <row r="5" spans="2:17" ht="14.5" thickBot="1" x14ac:dyDescent="0.4">
      <c r="B5" s="175" t="s">
        <v>0</v>
      </c>
      <c r="C5" s="41" t="s">
        <v>22</v>
      </c>
      <c r="D5" s="4"/>
      <c r="E5" s="5"/>
      <c r="F5" s="5"/>
      <c r="G5" s="5"/>
      <c r="H5" s="6"/>
    </row>
    <row r="6" spans="2:17" ht="14.5" thickBot="1" x14ac:dyDescent="0.4">
      <c r="B6" s="176"/>
      <c r="C6" s="41" t="s">
        <v>29</v>
      </c>
      <c r="D6" s="32"/>
      <c r="E6" s="13"/>
      <c r="F6" s="13"/>
      <c r="G6" s="13"/>
      <c r="H6" s="33"/>
    </row>
    <row r="7" spans="2:17" ht="14.5" thickBot="1" x14ac:dyDescent="0.4">
      <c r="B7" s="176"/>
      <c r="C7" s="35" t="s">
        <v>18</v>
      </c>
      <c r="D7" s="32"/>
      <c r="E7" s="13"/>
      <c r="F7" s="13"/>
      <c r="G7" s="13"/>
      <c r="H7" s="33"/>
    </row>
    <row r="8" spans="2:17" ht="14.5" thickBot="1" x14ac:dyDescent="0.4">
      <c r="B8" s="176"/>
      <c r="C8" s="42" t="s">
        <v>24</v>
      </c>
      <c r="D8" s="32"/>
      <c r="E8" s="13"/>
      <c r="F8" s="13"/>
      <c r="G8" s="13"/>
      <c r="H8" s="33"/>
    </row>
    <row r="9" spans="2:17" ht="14.5" thickBot="1" x14ac:dyDescent="0.4">
      <c r="B9" s="176"/>
      <c r="C9" s="42" t="s">
        <v>31</v>
      </c>
      <c r="D9" s="32"/>
      <c r="E9" s="13"/>
      <c r="F9" s="13"/>
      <c r="G9" s="13"/>
      <c r="H9" s="33"/>
    </row>
    <row r="10" spans="2:17" ht="14.5" thickBot="1" x14ac:dyDescent="0.4">
      <c r="B10" s="176"/>
      <c r="C10" s="41" t="s">
        <v>25</v>
      </c>
      <c r="D10" s="32"/>
      <c r="E10" s="13"/>
      <c r="F10" s="13"/>
      <c r="G10" s="13"/>
      <c r="H10" s="33"/>
    </row>
    <row r="11" spans="2:17" ht="14.5" thickBot="1" x14ac:dyDescent="0.4">
      <c r="B11" s="176"/>
      <c r="C11" s="41" t="s">
        <v>27</v>
      </c>
      <c r="D11" s="32"/>
      <c r="E11" s="13"/>
      <c r="F11" s="13"/>
      <c r="G11" s="13"/>
      <c r="H11" s="33"/>
    </row>
    <row r="12" spans="2:17" ht="14.5" thickBot="1" x14ac:dyDescent="0.4">
      <c r="B12" s="176"/>
      <c r="C12" s="42" t="s">
        <v>20</v>
      </c>
      <c r="D12" s="32"/>
      <c r="E12" s="13"/>
      <c r="F12" s="13"/>
      <c r="G12" s="13"/>
      <c r="H12" s="33"/>
    </row>
    <row r="13" spans="2:17" ht="15" thickBot="1" x14ac:dyDescent="0.4">
      <c r="B13" s="176"/>
      <c r="C13" s="41" t="s">
        <v>19</v>
      </c>
      <c r="D13" s="32"/>
      <c r="E13" s="13"/>
      <c r="F13" s="13"/>
      <c r="G13" s="13"/>
      <c r="H13" s="33"/>
      <c r="I13" s="1"/>
      <c r="J13" s="14" t="s">
        <v>43</v>
      </c>
      <c r="K13" s="12" t="s">
        <v>41</v>
      </c>
      <c r="L13" s="12" t="s">
        <v>45</v>
      </c>
      <c r="M13" s="12" t="s">
        <v>44</v>
      </c>
      <c r="N13" s="12" t="s">
        <v>46</v>
      </c>
      <c r="O13" s="1"/>
      <c r="P13" s="12" t="s">
        <v>42</v>
      </c>
      <c r="Q13" s="39">
        <f>(L14-M14)/(M14-1)</f>
        <v>0</v>
      </c>
    </row>
    <row r="14" spans="2:17" ht="14.5" customHeight="1" thickBot="1" x14ac:dyDescent="0.4">
      <c r="B14" s="176"/>
      <c r="C14" s="42" t="s">
        <v>32</v>
      </c>
      <c r="D14" s="32"/>
      <c r="E14" s="13"/>
      <c r="F14" s="13"/>
      <c r="G14" s="13"/>
      <c r="H14" s="33"/>
      <c r="I14" s="1"/>
      <c r="J14" s="107">
        <f>SUMPRODUCT(D24:H24,$D$49:$H$49)</f>
        <v>1</v>
      </c>
      <c r="K14" s="108">
        <f>J14/N24</f>
        <v>5</v>
      </c>
      <c r="L14" s="109">
        <f>AVERAGE(K14:K18)</f>
        <v>5</v>
      </c>
      <c r="M14" s="109">
        <v>5</v>
      </c>
      <c r="N14" s="108">
        <v>1.1200000000000001</v>
      </c>
      <c r="P14" s="103" t="s">
        <v>10</v>
      </c>
      <c r="Q14" s="34">
        <f>Q13/N14</f>
        <v>0</v>
      </c>
    </row>
    <row r="15" spans="2:17" ht="15" customHeight="1" thickBot="1" x14ac:dyDescent="0.4">
      <c r="B15" s="176"/>
      <c r="C15" s="42" t="s">
        <v>26</v>
      </c>
      <c r="D15" s="32"/>
      <c r="E15" s="13"/>
      <c r="F15" s="13"/>
      <c r="G15" s="13"/>
      <c r="H15" s="33"/>
      <c r="I15" s="1"/>
      <c r="J15" s="107">
        <f t="shared" ref="J15:J18" si="0">SUMPRODUCT(D25:H25,$D$49:$H$49)</f>
        <v>1</v>
      </c>
      <c r="K15" s="108">
        <f t="shared" ref="K15:K18" si="1">J15/N25</f>
        <v>5</v>
      </c>
    </row>
    <row r="16" spans="2:17" ht="15" customHeight="1" thickBot="1" x14ac:dyDescent="0.4">
      <c r="B16" s="176"/>
      <c r="C16" s="41" t="s">
        <v>30</v>
      </c>
      <c r="D16" s="7"/>
      <c r="E16" s="2"/>
      <c r="F16" s="2"/>
      <c r="G16" s="2"/>
      <c r="H16" s="8"/>
      <c r="I16" s="1"/>
      <c r="J16" s="107">
        <f t="shared" si="0"/>
        <v>1</v>
      </c>
      <c r="K16" s="108">
        <f t="shared" si="1"/>
        <v>5</v>
      </c>
      <c r="L16" s="101"/>
      <c r="M16" s="101"/>
      <c r="N16" s="101"/>
      <c r="P16" s="1"/>
    </row>
    <row r="17" spans="2:17" ht="14.5" thickBot="1" x14ac:dyDescent="0.4">
      <c r="B17" s="176"/>
      <c r="C17" s="42" t="s">
        <v>28</v>
      </c>
      <c r="D17" s="7"/>
      <c r="E17" s="2"/>
      <c r="F17" s="2"/>
      <c r="G17" s="2"/>
      <c r="H17" s="8"/>
      <c r="I17" s="1"/>
      <c r="J17" s="107">
        <f t="shared" si="0"/>
        <v>1</v>
      </c>
      <c r="K17" s="108">
        <f t="shared" si="1"/>
        <v>5</v>
      </c>
      <c r="L17" s="101"/>
      <c r="M17" s="101"/>
      <c r="N17" s="101"/>
      <c r="O17" s="1"/>
      <c r="P17" s="1"/>
    </row>
    <row r="18" spans="2:17" ht="14.5" thickBot="1" x14ac:dyDescent="0.4">
      <c r="B18" s="176"/>
      <c r="C18" s="42" t="s">
        <v>23</v>
      </c>
      <c r="D18" s="7"/>
      <c r="E18" s="2"/>
      <c r="F18" s="2"/>
      <c r="G18" s="2"/>
      <c r="H18" s="8"/>
      <c r="I18" s="1"/>
      <c r="J18" s="108">
        <f t="shared" si="0"/>
        <v>1</v>
      </c>
      <c r="K18" s="108">
        <f t="shared" si="1"/>
        <v>5</v>
      </c>
      <c r="L18" s="101"/>
      <c r="M18" s="101"/>
      <c r="N18" s="101"/>
      <c r="O18" s="1"/>
    </row>
    <row r="19" spans="2:17" ht="14.5" thickBot="1" x14ac:dyDescent="0.4">
      <c r="B19" s="177"/>
      <c r="C19" s="41" t="s">
        <v>21</v>
      </c>
      <c r="D19" s="9"/>
      <c r="E19" s="10"/>
      <c r="F19" s="10"/>
      <c r="G19" s="10"/>
      <c r="H19" s="11"/>
      <c r="I19" s="1"/>
      <c r="K19" s="101"/>
      <c r="L19" s="101"/>
      <c r="M19" s="101"/>
      <c r="N19" s="1"/>
      <c r="O19" s="1"/>
    </row>
    <row r="21" spans="2:17" ht="14.5" thickBot="1" x14ac:dyDescent="0.4">
      <c r="P21" s="1"/>
    </row>
    <row r="22" spans="2:17" ht="15" customHeight="1" thickBot="1" x14ac:dyDescent="0.4">
      <c r="B22" s="1"/>
      <c r="C22" s="187" t="s">
        <v>38</v>
      </c>
      <c r="D22" s="188"/>
      <c r="E22" s="188"/>
      <c r="F22" s="188"/>
      <c r="G22" s="188"/>
      <c r="H22" s="189"/>
      <c r="I22" s="1"/>
      <c r="J22" s="1"/>
      <c r="K22" s="1"/>
      <c r="L22" s="1"/>
      <c r="M22" s="1"/>
      <c r="N22" s="1"/>
      <c r="O22" s="1"/>
      <c r="P22" s="1"/>
    </row>
    <row r="23" spans="2:17" ht="14.5" thickBot="1" x14ac:dyDescent="0.4">
      <c r="B23" s="1"/>
      <c r="C23" s="12" t="s">
        <v>1</v>
      </c>
      <c r="D23" s="12" t="s">
        <v>2</v>
      </c>
      <c r="E23" s="12" t="s">
        <v>6</v>
      </c>
      <c r="F23" s="12" t="s">
        <v>3</v>
      </c>
      <c r="G23" s="12" t="s">
        <v>5</v>
      </c>
      <c r="H23" s="12" t="s">
        <v>4</v>
      </c>
      <c r="I23" s="182" t="s">
        <v>8</v>
      </c>
      <c r="J23" s="183"/>
      <c r="K23" s="183"/>
      <c r="L23" s="183"/>
      <c r="M23" s="184"/>
      <c r="N23" s="12" t="s">
        <v>9</v>
      </c>
      <c r="O23" s="1"/>
      <c r="P23" s="1"/>
    </row>
    <row r="24" spans="2:17" ht="14.5" thickBot="1" x14ac:dyDescent="0.4">
      <c r="B24" s="1"/>
      <c r="C24" s="12" t="s">
        <v>2</v>
      </c>
      <c r="D24" s="19">
        <v>1</v>
      </c>
      <c r="E24" s="20">
        <v>1</v>
      </c>
      <c r="F24" s="20">
        <v>1</v>
      </c>
      <c r="G24" s="20">
        <v>1</v>
      </c>
      <c r="H24" s="76">
        <v>1</v>
      </c>
      <c r="I24" s="19">
        <f>D24/D$29</f>
        <v>0.2</v>
      </c>
      <c r="J24" s="20">
        <f t="shared" ref="J24:M24" si="2">E24/E$29</f>
        <v>0.2</v>
      </c>
      <c r="K24" s="20">
        <f t="shared" si="2"/>
        <v>0.2</v>
      </c>
      <c r="L24" s="20">
        <f t="shared" si="2"/>
        <v>0.2</v>
      </c>
      <c r="M24" s="15">
        <f t="shared" si="2"/>
        <v>0.2</v>
      </c>
      <c r="N24" s="104">
        <f>AVERAGE(I24:M24)</f>
        <v>0.2</v>
      </c>
      <c r="O24" s="102"/>
      <c r="P24" s="1"/>
    </row>
    <row r="25" spans="2:17" ht="14.5" thickBot="1" x14ac:dyDescent="0.4">
      <c r="B25" s="1"/>
      <c r="C25" s="12" t="s">
        <v>6</v>
      </c>
      <c r="D25" s="21">
        <f>1/E24</f>
        <v>1</v>
      </c>
      <c r="E25" s="3">
        <v>1</v>
      </c>
      <c r="F25" s="3">
        <v>1</v>
      </c>
      <c r="G25" s="3">
        <v>1</v>
      </c>
      <c r="H25" s="76">
        <v>1</v>
      </c>
      <c r="I25" s="21">
        <f t="shared" ref="I25:I28" si="3">D25/D$29</f>
        <v>0.2</v>
      </c>
      <c r="J25" s="3">
        <f t="shared" ref="J25:J28" si="4">E25/E$29</f>
        <v>0.2</v>
      </c>
      <c r="K25" s="3">
        <f t="shared" ref="K25:K28" si="5">F25/F$29</f>
        <v>0.2</v>
      </c>
      <c r="L25" s="3">
        <f t="shared" ref="L25:L28" si="6">G25/G$29</f>
        <v>0.2</v>
      </c>
      <c r="M25" s="16">
        <f t="shared" ref="M25:M28" si="7">H25/H$29</f>
        <v>0.2</v>
      </c>
      <c r="N25" s="105">
        <f t="shared" ref="N25:N28" si="8">AVERAGE(I25:M25)</f>
        <v>0.2</v>
      </c>
      <c r="O25" s="102"/>
      <c r="P25" s="1"/>
    </row>
    <row r="26" spans="2:17" ht="14.5" thickBot="1" x14ac:dyDescent="0.4">
      <c r="B26" s="1"/>
      <c r="C26" s="12" t="s">
        <v>3</v>
      </c>
      <c r="D26" s="21">
        <f>1/F24</f>
        <v>1</v>
      </c>
      <c r="E26" s="3">
        <f>1/F25</f>
        <v>1</v>
      </c>
      <c r="F26" s="3">
        <v>1</v>
      </c>
      <c r="G26" s="3">
        <v>1</v>
      </c>
      <c r="H26" s="76">
        <v>1</v>
      </c>
      <c r="I26" s="21">
        <f t="shared" si="3"/>
        <v>0.2</v>
      </c>
      <c r="J26" s="3">
        <f t="shared" si="4"/>
        <v>0.2</v>
      </c>
      <c r="K26" s="3">
        <f t="shared" si="5"/>
        <v>0.2</v>
      </c>
      <c r="L26" s="3">
        <f t="shared" si="6"/>
        <v>0.2</v>
      </c>
      <c r="M26" s="16">
        <f t="shared" si="7"/>
        <v>0.2</v>
      </c>
      <c r="N26" s="105">
        <f t="shared" si="8"/>
        <v>0.2</v>
      </c>
      <c r="O26" s="102"/>
      <c r="P26" s="1"/>
    </row>
    <row r="27" spans="2:17" ht="14.5" thickBot="1" x14ac:dyDescent="0.4">
      <c r="B27" s="1"/>
      <c r="C27" s="12" t="s">
        <v>5</v>
      </c>
      <c r="D27" s="21">
        <f>1/G24</f>
        <v>1</v>
      </c>
      <c r="E27" s="3">
        <f>1/G25</f>
        <v>1</v>
      </c>
      <c r="F27" s="3">
        <f>1/G26</f>
        <v>1</v>
      </c>
      <c r="G27" s="3">
        <v>1</v>
      </c>
      <c r="H27" s="76">
        <v>1</v>
      </c>
      <c r="I27" s="21">
        <f t="shared" si="3"/>
        <v>0.2</v>
      </c>
      <c r="J27" s="3">
        <f t="shared" si="4"/>
        <v>0.2</v>
      </c>
      <c r="K27" s="3">
        <f t="shared" si="5"/>
        <v>0.2</v>
      </c>
      <c r="L27" s="3">
        <f t="shared" si="6"/>
        <v>0.2</v>
      </c>
      <c r="M27" s="16">
        <f t="shared" si="7"/>
        <v>0.2</v>
      </c>
      <c r="N27" s="105">
        <f t="shared" si="8"/>
        <v>0.2</v>
      </c>
      <c r="O27" s="102"/>
      <c r="P27" s="1"/>
    </row>
    <row r="28" spans="2:17" ht="14.5" thickBot="1" x14ac:dyDescent="0.4">
      <c r="B28" s="1"/>
      <c r="C28" s="12" t="s">
        <v>4</v>
      </c>
      <c r="D28" s="22">
        <f>1/H24</f>
        <v>1</v>
      </c>
      <c r="E28" s="18">
        <f>1/H25</f>
        <v>1</v>
      </c>
      <c r="F28" s="18">
        <f>1/H26</f>
        <v>1</v>
      </c>
      <c r="G28" s="18">
        <f>1/H27</f>
        <v>1</v>
      </c>
      <c r="H28" s="77">
        <v>1</v>
      </c>
      <c r="I28" s="22">
        <f t="shared" si="3"/>
        <v>0.2</v>
      </c>
      <c r="J28" s="18">
        <f t="shared" si="4"/>
        <v>0.2</v>
      </c>
      <c r="K28" s="18">
        <f t="shared" si="5"/>
        <v>0.2</v>
      </c>
      <c r="L28" s="18">
        <f t="shared" si="6"/>
        <v>0.2</v>
      </c>
      <c r="M28" s="17">
        <f t="shared" si="7"/>
        <v>0.2</v>
      </c>
      <c r="N28" s="106">
        <f t="shared" si="8"/>
        <v>0.2</v>
      </c>
      <c r="O28" s="102"/>
      <c r="P28" s="1"/>
    </row>
    <row r="29" spans="2:17" ht="14.5" thickBot="1" x14ac:dyDescent="0.4">
      <c r="B29" s="1"/>
      <c r="C29" s="23" t="s">
        <v>7</v>
      </c>
      <c r="D29" s="40">
        <f>SUM(D24:D28)</f>
        <v>5</v>
      </c>
      <c r="E29" s="40">
        <f t="shared" ref="E29:H29" si="9">SUM(E24:E28)</f>
        <v>5</v>
      </c>
      <c r="F29" s="40">
        <f t="shared" si="9"/>
        <v>5</v>
      </c>
      <c r="G29" s="40">
        <f t="shared" si="9"/>
        <v>5</v>
      </c>
      <c r="H29" s="40">
        <f t="shared" si="9"/>
        <v>5</v>
      </c>
      <c r="I29" s="1"/>
      <c r="J29" s="1"/>
      <c r="K29" s="1"/>
      <c r="L29" s="1"/>
      <c r="M29" s="1"/>
      <c r="N29" s="1"/>
      <c r="O29" s="1"/>
      <c r="P29" s="1"/>
    </row>
    <row r="30" spans="2:17" x14ac:dyDescent="0.35">
      <c r="B30" s="1"/>
      <c r="C30" s="1"/>
      <c r="D30" s="24"/>
      <c r="E30" s="24"/>
      <c r="F30" s="24"/>
      <c r="G30" s="24"/>
      <c r="H30" s="24"/>
      <c r="I30" s="1"/>
      <c r="J30" s="1"/>
      <c r="K30" s="1"/>
      <c r="L30" s="1"/>
      <c r="M30" s="1"/>
      <c r="N30" s="1"/>
      <c r="O30" s="1"/>
      <c r="P30" s="1"/>
    </row>
    <row r="31" spans="2:17" ht="14.5" thickBot="1" x14ac:dyDescent="0.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7" ht="15" thickBot="1" x14ac:dyDescent="0.4">
      <c r="B32" s="178" t="s">
        <v>39</v>
      </c>
      <c r="C32" s="179"/>
      <c r="D32" s="182" t="s">
        <v>1</v>
      </c>
      <c r="E32" s="183"/>
      <c r="F32" s="183"/>
      <c r="G32" s="183"/>
      <c r="H32" s="192"/>
      <c r="I32" s="193" t="s">
        <v>16</v>
      </c>
      <c r="P32" s="68"/>
      <c r="Q32" s="68"/>
    </row>
    <row r="33" spans="2:17" ht="15" thickBot="1" x14ac:dyDescent="0.4">
      <c r="B33" s="190"/>
      <c r="C33" s="191"/>
      <c r="D33" s="14" t="s">
        <v>2</v>
      </c>
      <c r="E33" s="14" t="s">
        <v>6</v>
      </c>
      <c r="F33" s="14" t="s">
        <v>3</v>
      </c>
      <c r="G33" s="14" t="s">
        <v>5</v>
      </c>
      <c r="H33" s="14" t="s">
        <v>4</v>
      </c>
      <c r="I33" s="194"/>
      <c r="K33" s="68"/>
      <c r="L33" s="68"/>
      <c r="M33" s="68"/>
      <c r="N33" s="68"/>
      <c r="O33" s="68"/>
      <c r="P33" s="68"/>
      <c r="Q33" s="68"/>
    </row>
    <row r="34" spans="2:17" ht="15" thickBot="1" x14ac:dyDescent="0.4">
      <c r="B34" s="178" t="s">
        <v>0</v>
      </c>
      <c r="C34" s="51" t="s">
        <v>22</v>
      </c>
      <c r="D34" s="36">
        <f>'C. Téc.'!AG4</f>
        <v>1.4769210546563154E-2</v>
      </c>
      <c r="E34" s="28">
        <f>'C. Eco.'!AG4</f>
        <v>6.134089527944294E-2</v>
      </c>
      <c r="F34" s="28">
        <f>'C. So.'!AG4</f>
        <v>8.7405748502737551E-2</v>
      </c>
      <c r="G34" s="28">
        <f>'C. Am.'!AG4</f>
        <v>6.1075983401808788E-2</v>
      </c>
      <c r="H34" s="29">
        <f>'C. Com.'!AG4</f>
        <v>5.1497491275853922E-2</v>
      </c>
      <c r="I34" s="99">
        <f>SUMPRODUCT(D34:H34,$D$49:$H$49)</f>
        <v>5.5217865801281268E-2</v>
      </c>
      <c r="K34" s="68"/>
      <c r="L34" s="68"/>
      <c r="M34" s="68"/>
      <c r="N34" s="68"/>
      <c r="O34" s="68"/>
    </row>
    <row r="35" spans="2:17" ht="15" thickBot="1" x14ac:dyDescent="0.4">
      <c r="B35" s="180"/>
      <c r="C35" s="52" t="s">
        <v>29</v>
      </c>
      <c r="D35" s="56">
        <f>'C. Téc.'!AG5</f>
        <v>0.1074557206452805</v>
      </c>
      <c r="E35" s="26">
        <f>'C. Eco.'!AG5</f>
        <v>6.134089527944294E-2</v>
      </c>
      <c r="F35" s="26">
        <f>'C. So.'!AG5</f>
        <v>4.4578109649131691E-2</v>
      </c>
      <c r="G35" s="26">
        <f>'C. Am.'!AG5</f>
        <v>6.1075983401808788E-2</v>
      </c>
      <c r="H35" s="27">
        <f>'C. Com.'!AG5</f>
        <v>2.0438781969705888E-2</v>
      </c>
      <c r="I35" s="99">
        <f t="shared" ref="I35:I48" si="10">SUMPRODUCT(D35:H35,$D$49:$H$49)</f>
        <v>5.8977898189073966E-2</v>
      </c>
      <c r="K35" s="61"/>
    </row>
    <row r="36" spans="2:17" ht="15" thickBot="1" x14ac:dyDescent="0.4">
      <c r="B36" s="180"/>
      <c r="C36" s="53" t="s">
        <v>18</v>
      </c>
      <c r="D36" s="56">
        <f>'C. Téc.'!AG6</f>
        <v>1.4769210546563154E-2</v>
      </c>
      <c r="E36" s="26">
        <f>'C. Eco.'!AG6</f>
        <v>0.15433205338980732</v>
      </c>
      <c r="F36" s="26">
        <f>'C. So.'!AG6</f>
        <v>4.973115433687026E-2</v>
      </c>
      <c r="G36" s="26">
        <f>'C. Am.'!AG6</f>
        <v>2.652248183811149E-2</v>
      </c>
      <c r="H36" s="27">
        <f>'C. Com.'!AG6</f>
        <v>5.1497491275853922E-2</v>
      </c>
      <c r="I36" s="99">
        <f t="shared" si="10"/>
        <v>5.9370478277441234E-2</v>
      </c>
      <c r="K36" s="61"/>
    </row>
    <row r="37" spans="2:17" ht="15" thickBot="1" x14ac:dyDescent="0.4">
      <c r="B37" s="180"/>
      <c r="C37" s="54" t="s">
        <v>24</v>
      </c>
      <c r="D37" s="56">
        <f>'C. Téc.'!AG7</f>
        <v>0.1074557206452805</v>
      </c>
      <c r="E37" s="26">
        <f>'C. Eco.'!AG7</f>
        <v>6.134089527944294E-2</v>
      </c>
      <c r="F37" s="26">
        <f>'C. So.'!AG7</f>
        <v>4.973115433687026E-2</v>
      </c>
      <c r="G37" s="26">
        <f>'C. Am.'!AG7</f>
        <v>2.652248183811149E-2</v>
      </c>
      <c r="H37" s="27">
        <f>'C. Com.'!AG7</f>
        <v>0.12032109070843269</v>
      </c>
      <c r="I37" s="99">
        <f t="shared" si="10"/>
        <v>7.3074268561627589E-2</v>
      </c>
      <c r="K37" s="61"/>
    </row>
    <row r="38" spans="2:17" ht="15" thickBot="1" x14ac:dyDescent="0.4">
      <c r="B38" s="180"/>
      <c r="C38" s="54" t="s">
        <v>31</v>
      </c>
      <c r="D38" s="56">
        <f>'C. Téc.'!AG8</f>
        <v>0.1074557206452805</v>
      </c>
      <c r="E38" s="26">
        <f>'C. Eco.'!AG8</f>
        <v>0.15433205338980732</v>
      </c>
      <c r="F38" s="26">
        <f>'C. So.'!AG8</f>
        <v>3.4951487886647627E-2</v>
      </c>
      <c r="G38" s="26">
        <f>'C. Am.'!AG8</f>
        <v>1.34314079527277E-2</v>
      </c>
      <c r="H38" s="27">
        <f>'C. Com.'!AG8</f>
        <v>2.0438781969705888E-2</v>
      </c>
      <c r="I38" s="99">
        <f t="shared" si="10"/>
        <v>6.6121890368833813E-2</v>
      </c>
      <c r="K38" s="61"/>
    </row>
    <row r="39" spans="2:17" ht="15" thickBot="1" x14ac:dyDescent="0.4">
      <c r="B39" s="180"/>
      <c r="C39" s="52" t="s">
        <v>25</v>
      </c>
      <c r="D39" s="56">
        <f>'C. Téc.'!AG9</f>
        <v>0.1074557206452805</v>
      </c>
      <c r="E39" s="26">
        <f>'C. Eco.'!AG9</f>
        <v>0.15433205338980732</v>
      </c>
      <c r="F39" s="26">
        <f>'C. So.'!AG9</f>
        <v>3.4951487886647627E-2</v>
      </c>
      <c r="G39" s="26">
        <f>'C. Am.'!AG9</f>
        <v>2.652248183811149E-2</v>
      </c>
      <c r="H39" s="27">
        <f>'C. Com.'!AG9</f>
        <v>2.0438781969705888E-2</v>
      </c>
      <c r="I39" s="99">
        <f t="shared" si="10"/>
        <v>6.8740105145910571E-2</v>
      </c>
      <c r="K39" s="61"/>
    </row>
    <row r="40" spans="2:17" ht="14.5" thickBot="1" x14ac:dyDescent="0.4">
      <c r="B40" s="180"/>
      <c r="C40" s="52" t="s">
        <v>27</v>
      </c>
      <c r="D40" s="56">
        <f>'C. Téc.'!AG10</f>
        <v>0.1074557206452805</v>
      </c>
      <c r="E40" s="26">
        <f>'C. Eco.'!AG10</f>
        <v>1.4197253946546699E-2</v>
      </c>
      <c r="F40" s="26">
        <f>'C. So.'!AG10</f>
        <v>0.12617952291491996</v>
      </c>
      <c r="G40" s="26">
        <f>'C. Am.'!AG10</f>
        <v>0.14041683493326368</v>
      </c>
      <c r="H40" s="27">
        <f>'C. Com.'!AG10</f>
        <v>0.12032109070843269</v>
      </c>
      <c r="I40" s="99">
        <f>SUMPRODUCT(D40:H40,$D$49:$H$49)</f>
        <v>0.10171408462968871</v>
      </c>
    </row>
    <row r="41" spans="2:17" ht="14.5" thickBot="1" x14ac:dyDescent="0.4">
      <c r="B41" s="180"/>
      <c r="C41" s="54" t="s">
        <v>20</v>
      </c>
      <c r="D41" s="56">
        <f>'C. Téc.'!AG11</f>
        <v>1.4769210546563154E-2</v>
      </c>
      <c r="E41" s="26">
        <f>'C. Eco.'!AG11</f>
        <v>1.4197253946546699E-2</v>
      </c>
      <c r="F41" s="26">
        <f>'C. So.'!AG11</f>
        <v>3.4951487886647627E-2</v>
      </c>
      <c r="G41" s="26">
        <f>'C. Am.'!AG11</f>
        <v>2.652248183811149E-2</v>
      </c>
      <c r="H41" s="27">
        <f>'C. Com.'!AG11</f>
        <v>2.0438781969705888E-2</v>
      </c>
      <c r="I41" s="99">
        <f t="shared" si="10"/>
        <v>2.2175843237514974E-2</v>
      </c>
    </row>
    <row r="42" spans="2:17" ht="14.5" thickBot="1" x14ac:dyDescent="0.4">
      <c r="B42" s="180"/>
      <c r="C42" s="52" t="s">
        <v>19</v>
      </c>
      <c r="D42" s="56">
        <f>'C. Téc.'!AG12</f>
        <v>1.4769210546563154E-2</v>
      </c>
      <c r="E42" s="26">
        <f>'C. Eco.'!AG12</f>
        <v>6.134089527944294E-2</v>
      </c>
      <c r="F42" s="26">
        <f>'C. So.'!AG12</f>
        <v>6.7387305477272286E-2</v>
      </c>
      <c r="G42" s="26">
        <f>'C. Am.'!AG12</f>
        <v>6.1075983401808788E-2</v>
      </c>
      <c r="H42" s="27">
        <f>'C. Com.'!AG12</f>
        <v>5.1497491275853922E-2</v>
      </c>
      <c r="I42" s="99">
        <f t="shared" si="10"/>
        <v>5.1214177196188218E-2</v>
      </c>
    </row>
    <row r="43" spans="2:17" ht="14.5" thickBot="1" x14ac:dyDescent="0.4">
      <c r="B43" s="180"/>
      <c r="C43" s="54" t="s">
        <v>32</v>
      </c>
      <c r="D43" s="56">
        <f>'C. Téc.'!AG13</f>
        <v>5.1738971558377096E-2</v>
      </c>
      <c r="E43" s="26">
        <f>'C. Eco.'!AG13</f>
        <v>6.134089527944294E-2</v>
      </c>
      <c r="F43" s="26">
        <f>'C. So.'!AG13</f>
        <v>0.14815007115409781</v>
      </c>
      <c r="G43" s="26">
        <f>'C. Am.'!AG13</f>
        <v>0.14041683493326368</v>
      </c>
      <c r="H43" s="27">
        <f>'C. Com.'!AG13</f>
        <v>0.12032109070843269</v>
      </c>
      <c r="I43" s="99">
        <f t="shared" si="10"/>
        <v>0.10439357272672285</v>
      </c>
    </row>
    <row r="44" spans="2:17" ht="14.5" thickBot="1" x14ac:dyDescent="0.4">
      <c r="B44" s="180"/>
      <c r="C44" s="54" t="s">
        <v>26</v>
      </c>
      <c r="D44" s="56">
        <f>'C. Téc.'!AG14</f>
        <v>0.1074557206452805</v>
      </c>
      <c r="E44" s="26">
        <f>'C. Eco.'!AG14</f>
        <v>9.1778787641451642E-3</v>
      </c>
      <c r="F44" s="26">
        <f>'C. So.'!AG14</f>
        <v>0.14264042928081955</v>
      </c>
      <c r="G44" s="26">
        <f>'C. Am.'!AG14</f>
        <v>0.14041683493326368</v>
      </c>
      <c r="H44" s="27">
        <f>'C. Com.'!AG14</f>
        <v>0.22785787037104888</v>
      </c>
      <c r="I44" s="99">
        <f t="shared" si="10"/>
        <v>0.12550974679891158</v>
      </c>
    </row>
    <row r="45" spans="2:17" ht="14.5" thickBot="1" x14ac:dyDescent="0.4">
      <c r="B45" s="180"/>
      <c r="C45" s="52" t="s">
        <v>30</v>
      </c>
      <c r="D45" s="56">
        <f>'C. Téc.'!AG15</f>
        <v>0.1074557206452805</v>
      </c>
      <c r="E45" s="26">
        <f>'C. Eco.'!AG15</f>
        <v>0.15433205338980732</v>
      </c>
      <c r="F45" s="26">
        <f>'C. So.'!AG15</f>
        <v>1.2492426536324939E-2</v>
      </c>
      <c r="G45" s="26">
        <f>'C. Am.'!AG15</f>
        <v>1.34314079527277E-2</v>
      </c>
      <c r="H45" s="27">
        <f>'C. Com.'!AG15</f>
        <v>2.0438781969705888E-2</v>
      </c>
      <c r="I45" s="99">
        <f t="shared" si="10"/>
        <v>6.1630078098769268E-2</v>
      </c>
    </row>
    <row r="46" spans="2:17" ht="14.5" thickBot="1" x14ac:dyDescent="0.4">
      <c r="B46" s="180"/>
      <c r="C46" s="54" t="s">
        <v>28</v>
      </c>
      <c r="D46" s="56">
        <f>'C. Téc.'!AG16</f>
        <v>0.1074557206452805</v>
      </c>
      <c r="E46" s="26">
        <f>'C. Eco.'!AG16</f>
        <v>9.1778787641451642E-3</v>
      </c>
      <c r="F46" s="26">
        <f>'C. So.'!AG16</f>
        <v>4.973115433687026E-2</v>
      </c>
      <c r="G46" s="26">
        <f>'C. Am.'!AG16</f>
        <v>6.1075983401808788E-2</v>
      </c>
      <c r="H46" s="27">
        <f>'C. Com.'!AG16</f>
        <v>5.1497491275853922E-2</v>
      </c>
      <c r="I46" s="99">
        <f t="shared" si="10"/>
        <v>5.5787645684791734E-2</v>
      </c>
    </row>
    <row r="47" spans="2:17" ht="14.5" thickBot="1" x14ac:dyDescent="0.4">
      <c r="B47" s="180"/>
      <c r="C47" s="54" t="s">
        <v>23</v>
      </c>
      <c r="D47" s="56">
        <f>'C. Téc.'!AG17</f>
        <v>1.4769210546563154E-2</v>
      </c>
      <c r="E47" s="26">
        <f>'C. Eco.'!AG17</f>
        <v>1.4608522311086084E-2</v>
      </c>
      <c r="F47" s="26">
        <f>'C. So.'!AG17</f>
        <v>6.7387305477272286E-2</v>
      </c>
      <c r="G47" s="26">
        <f>'C. Am.'!AG17</f>
        <v>0.14041683493326368</v>
      </c>
      <c r="H47" s="27">
        <f>'C. Com.'!AG17</f>
        <v>5.1497491275853922E-2</v>
      </c>
      <c r="I47" s="99">
        <f t="shared" si="10"/>
        <v>5.7735872908807828E-2</v>
      </c>
    </row>
    <row r="48" spans="2:17" ht="14.5" thickBot="1" x14ac:dyDescent="0.4">
      <c r="B48" s="180"/>
      <c r="C48" s="55" t="s">
        <v>21</v>
      </c>
      <c r="D48" s="57">
        <f>'C. Téc.'!AG18</f>
        <v>1.4769210546563154E-2</v>
      </c>
      <c r="E48" s="30">
        <f>'C. Eco.'!AG18</f>
        <v>1.4608522311086084E-2</v>
      </c>
      <c r="F48" s="30">
        <f>'C. So.'!AG18</f>
        <v>4.973115433687026E-2</v>
      </c>
      <c r="G48" s="30">
        <f>'C. Am.'!AG18</f>
        <v>6.1075983401808788E-2</v>
      </c>
      <c r="H48" s="31">
        <f>'C. Com.'!AG18</f>
        <v>5.1497491275853922E-2</v>
      </c>
      <c r="I48" s="100">
        <f t="shared" si="10"/>
        <v>3.8336472374436444E-2</v>
      </c>
    </row>
    <row r="49" spans="2:8" ht="14.5" thickBot="1" x14ac:dyDescent="0.4">
      <c r="B49" s="177"/>
      <c r="C49" s="43" t="s">
        <v>9</v>
      </c>
      <c r="D49" s="58">
        <f>N24</f>
        <v>0.2</v>
      </c>
      <c r="E49" s="59">
        <f>N25</f>
        <v>0.2</v>
      </c>
      <c r="F49" s="59">
        <f>N26</f>
        <v>0.2</v>
      </c>
      <c r="G49" s="59">
        <f>N27</f>
        <v>0.2</v>
      </c>
      <c r="H49" s="60">
        <f>N28</f>
        <v>0.2</v>
      </c>
    </row>
  </sheetData>
  <sortState xmlns:xlrd2="http://schemas.microsoft.com/office/spreadsheetml/2017/richdata2" ref="C6:C19">
    <sortCondition ref="C5:C19"/>
  </sortState>
  <mergeCells count="9">
    <mergeCell ref="C22:H22"/>
    <mergeCell ref="B2:C4"/>
    <mergeCell ref="D32:H32"/>
    <mergeCell ref="B34:B49"/>
    <mergeCell ref="I32:I33"/>
    <mergeCell ref="B32:C33"/>
    <mergeCell ref="D2:H2"/>
    <mergeCell ref="B5:B19"/>
    <mergeCell ref="I23:M23"/>
  </mergeCells>
  <conditionalFormatting sqref="D34:D48">
    <cfRule type="top10" dxfId="30" priority="8" rank="1"/>
    <cfRule type="top10" dxfId="29" priority="18" rank="3"/>
    <cfRule type="top10" dxfId="28" priority="19" bottom="1" rank="3"/>
    <cfRule type="top10" dxfId="27" priority="20" bottom="1" rank="3"/>
  </conditionalFormatting>
  <conditionalFormatting sqref="E34:E48">
    <cfRule type="top10" dxfId="26" priority="7" rank="1"/>
    <cfRule type="top10" dxfId="25" priority="16" bottom="1" rank="3"/>
    <cfRule type="top10" dxfId="24" priority="17" rank="3"/>
  </conditionalFormatting>
  <conditionalFormatting sqref="F34:F48">
    <cfRule type="top10" dxfId="23" priority="6" rank="1"/>
    <cfRule type="top10" dxfId="22" priority="13" rank="3"/>
    <cfRule type="top10" dxfId="21" priority="14" bottom="1" rank="3"/>
  </conditionalFormatting>
  <conditionalFormatting sqref="G34:G48">
    <cfRule type="top10" dxfId="20" priority="5" rank="1"/>
    <cfRule type="top10" dxfId="19" priority="11" bottom="1" rank="3"/>
    <cfRule type="top10" dxfId="18" priority="12" rank="3"/>
  </conditionalFormatting>
  <conditionalFormatting sqref="H34:H48">
    <cfRule type="top10" dxfId="17" priority="4" rank="1"/>
    <cfRule type="top10" dxfId="16" priority="9" bottom="1" rank="3"/>
    <cfRule type="top10" dxfId="15" priority="10" rank="3"/>
  </conditionalFormatting>
  <conditionalFormatting sqref="I34:I48">
    <cfRule type="top10" dxfId="14" priority="3" rank="1"/>
    <cfRule type="top10" dxfId="13" priority="21" bottom="1" rank="3"/>
    <cfRule type="top10" dxfId="12" priority="22" rank="3"/>
  </conditionalFormatting>
  <conditionalFormatting sqref="Q14">
    <cfRule type="cellIs" dxfId="11" priority="1" operator="greaterThan">
      <formula>0.1</formula>
    </cfRule>
    <cfRule type="cellIs" dxfId="10" priority="2" operator="lessThan">
      <formula>0.1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A639-ED4B-43CD-8CAA-47498E9D984B}">
  <dimension ref="A1:AP28"/>
  <sheetViews>
    <sheetView topLeftCell="A12" zoomScale="107" zoomScaleNormal="85" workbookViewId="0">
      <selection activeCell="C25" sqref="C25:C27"/>
    </sheetView>
  </sheetViews>
  <sheetFormatPr baseColWidth="10" defaultRowHeight="14" x14ac:dyDescent="0.3"/>
  <cols>
    <col min="1" max="1" width="10.90625" style="44"/>
    <col min="2" max="2" width="25.08984375" style="44" customWidth="1"/>
    <col min="3" max="11" width="10.6328125" style="44" customWidth="1"/>
    <col min="12" max="12" width="11" style="44" bestFit="1" customWidth="1"/>
    <col min="13" max="15" width="11.453125" style="44" bestFit="1" customWidth="1"/>
    <col min="16" max="17" width="10.90625" style="44"/>
    <col min="18" max="18" width="7.81640625" style="44" customWidth="1"/>
    <col min="19" max="19" width="8.453125" style="44" bestFit="1" customWidth="1"/>
    <col min="20" max="20" width="7.81640625" style="44" customWidth="1"/>
    <col min="21" max="21" width="8.453125" style="44" bestFit="1" customWidth="1"/>
    <col min="22" max="32" width="7.81640625" style="44" customWidth="1"/>
    <col min="33" max="16384" width="10.90625" style="44"/>
  </cols>
  <sheetData>
    <row r="1" spans="1:42" ht="14.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2" ht="14.5" thickBot="1" x14ac:dyDescent="0.35">
      <c r="A2" s="1"/>
      <c r="B2" s="187" t="s">
        <v>11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9"/>
      <c r="AH2" s="1"/>
    </row>
    <row r="3" spans="1:42" s="47" customFormat="1" ht="42.5" thickBot="1" x14ac:dyDescent="0.35">
      <c r="A3" s="1"/>
      <c r="B3" s="12" t="s">
        <v>0</v>
      </c>
      <c r="C3" s="45" t="s">
        <v>22</v>
      </c>
      <c r="D3" s="45" t="s">
        <v>29</v>
      </c>
      <c r="E3" s="14" t="s">
        <v>18</v>
      </c>
      <c r="F3" s="46" t="s">
        <v>24</v>
      </c>
      <c r="G3" s="46" t="s">
        <v>31</v>
      </c>
      <c r="H3" s="45" t="s">
        <v>25</v>
      </c>
      <c r="I3" s="45" t="s">
        <v>27</v>
      </c>
      <c r="J3" s="46" t="s">
        <v>20</v>
      </c>
      <c r="K3" s="45" t="s">
        <v>19</v>
      </c>
      <c r="L3" s="46" t="s">
        <v>32</v>
      </c>
      <c r="M3" s="46" t="s">
        <v>26</v>
      </c>
      <c r="N3" s="45" t="s">
        <v>30</v>
      </c>
      <c r="O3" s="46" t="s">
        <v>28</v>
      </c>
      <c r="P3" s="46" t="s">
        <v>23</v>
      </c>
      <c r="Q3" s="45" t="s">
        <v>21</v>
      </c>
      <c r="R3" s="178" t="s">
        <v>8</v>
      </c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79"/>
      <c r="AG3" s="12" t="s">
        <v>12</v>
      </c>
      <c r="AH3" s="1"/>
      <c r="AI3" s="14" t="s">
        <v>43</v>
      </c>
      <c r="AJ3" s="12" t="s">
        <v>41</v>
      </c>
      <c r="AK3" s="12" t="s">
        <v>45</v>
      </c>
      <c r="AL3" s="12" t="s">
        <v>44</v>
      </c>
      <c r="AM3" s="12" t="s">
        <v>46</v>
      </c>
      <c r="AN3" s="1"/>
      <c r="AO3" s="12" t="s">
        <v>42</v>
      </c>
      <c r="AP3" s="39">
        <f>(AK4-AL4)/(AL4-1)</f>
        <v>9.2058890420592121E-3</v>
      </c>
    </row>
    <row r="4" spans="1:42" ht="15" thickBot="1" x14ac:dyDescent="0.35">
      <c r="A4" s="1"/>
      <c r="B4" s="48" t="s">
        <v>22</v>
      </c>
      <c r="C4" s="69">
        <v>1</v>
      </c>
      <c r="D4" s="63">
        <v>0.14285714285714285</v>
      </c>
      <c r="E4" s="63">
        <v>1</v>
      </c>
      <c r="F4" s="63">
        <v>0.14285714285714285</v>
      </c>
      <c r="G4" s="63">
        <v>0.14285714285714285</v>
      </c>
      <c r="H4" s="63">
        <v>0.14285714285714285</v>
      </c>
      <c r="I4" s="63">
        <v>0.14285714285714285</v>
      </c>
      <c r="J4" s="63">
        <v>1</v>
      </c>
      <c r="K4" s="63">
        <v>1</v>
      </c>
      <c r="L4" s="63">
        <v>0.2</v>
      </c>
      <c r="M4" s="63">
        <v>0.14285714285714285</v>
      </c>
      <c r="N4" s="63">
        <v>0.14285714285714285</v>
      </c>
      <c r="O4" s="63">
        <v>0.14285714285714285</v>
      </c>
      <c r="P4" s="63">
        <v>1</v>
      </c>
      <c r="Q4" s="15">
        <v>1</v>
      </c>
      <c r="R4" s="25">
        <f>C4/C$19</f>
        <v>1.4925373134328358E-2</v>
      </c>
      <c r="S4" s="25">
        <f t="shared" ref="S4:AF4" si="0">D4/D$19</f>
        <v>1.5544041450777202E-2</v>
      </c>
      <c r="T4" s="25">
        <f t="shared" si="0"/>
        <v>1.4925373134328358E-2</v>
      </c>
      <c r="U4" s="25">
        <f t="shared" si="0"/>
        <v>1.5544041450777202E-2</v>
      </c>
      <c r="V4" s="25">
        <f t="shared" si="0"/>
        <v>1.5544041450777202E-2</v>
      </c>
      <c r="W4" s="25">
        <f t="shared" si="0"/>
        <v>1.5544041450777202E-2</v>
      </c>
      <c r="X4" s="25">
        <f t="shared" si="0"/>
        <v>1.5544041450777202E-2</v>
      </c>
      <c r="Y4" s="25">
        <f t="shared" si="0"/>
        <v>1.4925373134328358E-2</v>
      </c>
      <c r="Z4" s="25">
        <f t="shared" si="0"/>
        <v>1.4925373134328358E-2</v>
      </c>
      <c r="AA4" s="25">
        <f t="shared" si="0"/>
        <v>7.6335877862595434E-3</v>
      </c>
      <c r="AB4" s="25">
        <f t="shared" si="0"/>
        <v>1.5544041450777202E-2</v>
      </c>
      <c r="AC4" s="25">
        <f t="shared" si="0"/>
        <v>1.5544041450777202E-2</v>
      </c>
      <c r="AD4" s="25">
        <f t="shared" si="0"/>
        <v>1.5544041450777202E-2</v>
      </c>
      <c r="AE4" s="25">
        <f t="shared" si="0"/>
        <v>1.4925373134328358E-2</v>
      </c>
      <c r="AF4" s="25">
        <f t="shared" si="0"/>
        <v>1.4925373134328358E-2</v>
      </c>
      <c r="AG4" s="39">
        <f>AVERAGE(R4:AF4)</f>
        <v>1.4769210546563154E-2</v>
      </c>
      <c r="AH4" s="1"/>
      <c r="AI4" s="107">
        <f>SUMPRODUCT(C4:Q4,$C$20:$Q$20)</f>
        <v>0.22176959547137493</v>
      </c>
      <c r="AJ4" s="108">
        <f>AI4/AG4</f>
        <v>15.015670253477527</v>
      </c>
      <c r="AK4" s="109">
        <f>AVERAGE(AJ4:AJ18)</f>
        <v>15.128882446588829</v>
      </c>
      <c r="AL4" s="109">
        <v>15</v>
      </c>
      <c r="AM4" s="108">
        <f>(1.86668*(15-2))/15</f>
        <v>1.6177893333333333</v>
      </c>
      <c r="AN4" s="35"/>
      <c r="AO4" s="103" t="s">
        <v>10</v>
      </c>
      <c r="AP4" s="34">
        <f>AP3/AM4</f>
        <v>5.6904127455774294E-3</v>
      </c>
    </row>
    <row r="5" spans="1:42" ht="15" thickBot="1" x14ac:dyDescent="0.35">
      <c r="A5" s="1"/>
      <c r="B5" s="48" t="s">
        <v>29</v>
      </c>
      <c r="C5" s="70">
        <f>1/D4</f>
        <v>7</v>
      </c>
      <c r="D5" s="65">
        <v>1</v>
      </c>
      <c r="E5" s="65">
        <v>7</v>
      </c>
      <c r="F5" s="65">
        <v>1</v>
      </c>
      <c r="G5" s="65">
        <v>1</v>
      </c>
      <c r="H5" s="65">
        <v>1</v>
      </c>
      <c r="I5" s="65">
        <v>1</v>
      </c>
      <c r="J5" s="65">
        <v>7</v>
      </c>
      <c r="K5" s="65">
        <v>7</v>
      </c>
      <c r="L5" s="65">
        <v>3</v>
      </c>
      <c r="M5" s="65">
        <v>1</v>
      </c>
      <c r="N5" s="65">
        <v>1</v>
      </c>
      <c r="O5" s="65">
        <v>1</v>
      </c>
      <c r="P5" s="65">
        <v>7</v>
      </c>
      <c r="Q5" s="16">
        <v>7</v>
      </c>
      <c r="R5" s="25">
        <f t="shared" ref="R5:R18" si="1">C5/C$19</f>
        <v>0.1044776119402985</v>
      </c>
      <c r="S5" s="25">
        <f t="shared" ref="S5:S18" si="2">D5/D$19</f>
        <v>0.10880829015544043</v>
      </c>
      <c r="T5" s="25">
        <f t="shared" ref="T5:T18" si="3">E5/E$19</f>
        <v>0.1044776119402985</v>
      </c>
      <c r="U5" s="25">
        <f t="shared" ref="U5:U18" si="4">F5/F$19</f>
        <v>0.10880829015544043</v>
      </c>
      <c r="V5" s="25">
        <f t="shared" ref="V5:V18" si="5">G5/G$19</f>
        <v>0.10880829015544043</v>
      </c>
      <c r="W5" s="25">
        <f t="shared" ref="W5:W18" si="6">H5/H$19</f>
        <v>0.10880829015544043</v>
      </c>
      <c r="X5" s="25">
        <f t="shared" ref="X5:X18" si="7">I5/I$19</f>
        <v>0.10880829015544043</v>
      </c>
      <c r="Y5" s="25">
        <f t="shared" ref="Y5:Y18" si="8">J5/J$19</f>
        <v>0.1044776119402985</v>
      </c>
      <c r="Z5" s="25">
        <f t="shared" ref="Z5:Z18" si="9">K5/K$19</f>
        <v>0.1044776119402985</v>
      </c>
      <c r="AA5" s="25">
        <f t="shared" ref="AA5:AA18" si="10">L5/L$19</f>
        <v>0.11450381679389315</v>
      </c>
      <c r="AB5" s="25">
        <f t="shared" ref="AB5:AB18" si="11">M5/M$19</f>
        <v>0.10880829015544043</v>
      </c>
      <c r="AC5" s="25">
        <f t="shared" ref="AC5:AC18" si="12">N5/N$19</f>
        <v>0.10880829015544043</v>
      </c>
      <c r="AD5" s="25">
        <f t="shared" ref="AD5:AD18" si="13">O5/O$19</f>
        <v>0.10880829015544043</v>
      </c>
      <c r="AE5" s="25">
        <f t="shared" ref="AE5:AE18" si="14">P5/P$19</f>
        <v>0.1044776119402985</v>
      </c>
      <c r="AF5" s="25">
        <f t="shared" ref="AF5:AF18" si="15">Q5/Q$19</f>
        <v>0.1044776119402985</v>
      </c>
      <c r="AG5" s="39">
        <f t="shared" ref="AG5:AG18" si="16">AVERAGE(R5:AF5)</f>
        <v>0.1074557206452805</v>
      </c>
      <c r="AH5" s="1"/>
      <c r="AI5" s="107">
        <f t="shared" ref="AI5:AI18" si="17">SUMPRODUCT(C5:Q5,$C$20:$Q$20)</f>
        <v>1.6351695227930279</v>
      </c>
      <c r="AJ5" s="108">
        <f>AI5/AG5</f>
        <v>15.21714723956714</v>
      </c>
      <c r="AK5" s="35"/>
      <c r="AL5" s="35"/>
      <c r="AM5" s="35"/>
      <c r="AN5" s="35"/>
      <c r="AO5" s="35"/>
      <c r="AP5" s="35"/>
    </row>
    <row r="6" spans="1:42" ht="15" thickBot="1" x14ac:dyDescent="0.35">
      <c r="A6" s="1"/>
      <c r="B6" s="49" t="s">
        <v>18</v>
      </c>
      <c r="C6" s="70">
        <f>1/E4</f>
        <v>1</v>
      </c>
      <c r="D6" s="65">
        <f>1/E5</f>
        <v>0.14285714285714285</v>
      </c>
      <c r="E6" s="65">
        <v>1</v>
      </c>
      <c r="F6" s="65">
        <v>0.14285714285714285</v>
      </c>
      <c r="G6" s="65">
        <v>0.14285714285714285</v>
      </c>
      <c r="H6" s="65">
        <v>0.14285714285714285</v>
      </c>
      <c r="I6" s="65">
        <v>0.14285714285714285</v>
      </c>
      <c r="J6" s="65">
        <v>1</v>
      </c>
      <c r="K6" s="65">
        <v>1</v>
      </c>
      <c r="L6" s="65">
        <v>0.2</v>
      </c>
      <c r="M6" s="65">
        <v>0.14285714285714285</v>
      </c>
      <c r="N6" s="65">
        <v>0.14285714285714285</v>
      </c>
      <c r="O6" s="65">
        <v>0.14285714285714285</v>
      </c>
      <c r="P6" s="65">
        <v>1</v>
      </c>
      <c r="Q6" s="16">
        <v>1</v>
      </c>
      <c r="R6" s="25">
        <f t="shared" si="1"/>
        <v>1.4925373134328358E-2</v>
      </c>
      <c r="S6" s="25">
        <f t="shared" si="2"/>
        <v>1.5544041450777202E-2</v>
      </c>
      <c r="T6" s="25">
        <f t="shared" si="3"/>
        <v>1.4925373134328358E-2</v>
      </c>
      <c r="U6" s="25">
        <f t="shared" si="4"/>
        <v>1.5544041450777202E-2</v>
      </c>
      <c r="V6" s="25">
        <f t="shared" si="5"/>
        <v>1.5544041450777202E-2</v>
      </c>
      <c r="W6" s="25">
        <f t="shared" si="6"/>
        <v>1.5544041450777202E-2</v>
      </c>
      <c r="X6" s="25">
        <f t="shared" si="7"/>
        <v>1.5544041450777202E-2</v>
      </c>
      <c r="Y6" s="25">
        <f t="shared" si="8"/>
        <v>1.4925373134328358E-2</v>
      </c>
      <c r="Z6" s="25">
        <f t="shared" si="9"/>
        <v>1.4925373134328358E-2</v>
      </c>
      <c r="AA6" s="25">
        <f t="shared" si="10"/>
        <v>7.6335877862595434E-3</v>
      </c>
      <c r="AB6" s="25">
        <f t="shared" si="11"/>
        <v>1.5544041450777202E-2</v>
      </c>
      <c r="AC6" s="25">
        <f t="shared" si="12"/>
        <v>1.5544041450777202E-2</v>
      </c>
      <c r="AD6" s="25">
        <f t="shared" si="13"/>
        <v>1.5544041450777202E-2</v>
      </c>
      <c r="AE6" s="25">
        <f t="shared" si="14"/>
        <v>1.4925373134328358E-2</v>
      </c>
      <c r="AF6" s="25">
        <f t="shared" si="15"/>
        <v>1.4925373134328358E-2</v>
      </c>
      <c r="AG6" s="39">
        <f t="shared" si="16"/>
        <v>1.4769210546563154E-2</v>
      </c>
      <c r="AH6" s="1"/>
      <c r="AI6" s="107">
        <f t="shared" si="17"/>
        <v>0.22176959547137493</v>
      </c>
      <c r="AJ6" s="108">
        <f t="shared" ref="AJ6:AJ18" si="18">AI6/AG6</f>
        <v>15.015670253477527</v>
      </c>
      <c r="AK6" s="101"/>
      <c r="AL6" s="101"/>
      <c r="AM6" s="101"/>
      <c r="AN6" s="35"/>
      <c r="AO6" s="1"/>
      <c r="AP6" s="35"/>
    </row>
    <row r="7" spans="1:42" ht="15" thickBot="1" x14ac:dyDescent="0.35">
      <c r="A7" s="1"/>
      <c r="B7" s="50" t="s">
        <v>24</v>
      </c>
      <c r="C7" s="70">
        <f>1/F4</f>
        <v>7</v>
      </c>
      <c r="D7" s="65">
        <f>1/F5</f>
        <v>1</v>
      </c>
      <c r="E7" s="65">
        <f>1/F6</f>
        <v>7</v>
      </c>
      <c r="F7" s="65">
        <v>1</v>
      </c>
      <c r="G7" s="65">
        <v>1</v>
      </c>
      <c r="H7" s="65">
        <v>1</v>
      </c>
      <c r="I7" s="65">
        <v>1</v>
      </c>
      <c r="J7" s="65">
        <v>7</v>
      </c>
      <c r="K7" s="65">
        <v>7</v>
      </c>
      <c r="L7" s="65">
        <v>3</v>
      </c>
      <c r="M7" s="65">
        <v>1</v>
      </c>
      <c r="N7" s="65">
        <v>1</v>
      </c>
      <c r="O7" s="65">
        <v>1</v>
      </c>
      <c r="P7" s="65">
        <v>7</v>
      </c>
      <c r="Q7" s="16">
        <v>7</v>
      </c>
      <c r="R7" s="25">
        <f t="shared" si="1"/>
        <v>0.1044776119402985</v>
      </c>
      <c r="S7" s="25">
        <f t="shared" si="2"/>
        <v>0.10880829015544043</v>
      </c>
      <c r="T7" s="25">
        <f t="shared" si="3"/>
        <v>0.1044776119402985</v>
      </c>
      <c r="U7" s="25">
        <f t="shared" si="4"/>
        <v>0.10880829015544043</v>
      </c>
      <c r="V7" s="25">
        <f t="shared" si="5"/>
        <v>0.10880829015544043</v>
      </c>
      <c r="W7" s="25">
        <f t="shared" si="6"/>
        <v>0.10880829015544043</v>
      </c>
      <c r="X7" s="25">
        <f t="shared" si="7"/>
        <v>0.10880829015544043</v>
      </c>
      <c r="Y7" s="25">
        <f t="shared" si="8"/>
        <v>0.1044776119402985</v>
      </c>
      <c r="Z7" s="25">
        <f t="shared" si="9"/>
        <v>0.1044776119402985</v>
      </c>
      <c r="AA7" s="25">
        <f t="shared" si="10"/>
        <v>0.11450381679389315</v>
      </c>
      <c r="AB7" s="25">
        <f t="shared" si="11"/>
        <v>0.10880829015544043</v>
      </c>
      <c r="AC7" s="25">
        <f t="shared" si="12"/>
        <v>0.10880829015544043</v>
      </c>
      <c r="AD7" s="25">
        <f t="shared" si="13"/>
        <v>0.10880829015544043</v>
      </c>
      <c r="AE7" s="25">
        <f t="shared" si="14"/>
        <v>0.1044776119402985</v>
      </c>
      <c r="AF7" s="25">
        <f t="shared" si="15"/>
        <v>0.1044776119402985</v>
      </c>
      <c r="AG7" s="39">
        <f t="shared" si="16"/>
        <v>0.1074557206452805</v>
      </c>
      <c r="AH7" s="1"/>
      <c r="AI7" s="107">
        <f t="shared" si="17"/>
        <v>1.6351695227930279</v>
      </c>
      <c r="AJ7" s="108">
        <f t="shared" si="18"/>
        <v>15.21714723956714</v>
      </c>
      <c r="AK7" s="101"/>
      <c r="AL7" s="101"/>
      <c r="AM7" s="101"/>
      <c r="AN7" s="1"/>
      <c r="AO7" s="1"/>
      <c r="AP7" s="35"/>
    </row>
    <row r="8" spans="1:42" ht="15" thickBot="1" x14ac:dyDescent="0.35">
      <c r="A8" s="1"/>
      <c r="B8" s="50" t="s">
        <v>31</v>
      </c>
      <c r="C8" s="70">
        <f>1/G4</f>
        <v>7</v>
      </c>
      <c r="D8" s="65">
        <f>1/G5</f>
        <v>1</v>
      </c>
      <c r="E8" s="65">
        <f>1/G6</f>
        <v>7</v>
      </c>
      <c r="F8" s="65">
        <f>1/G7</f>
        <v>1</v>
      </c>
      <c r="G8" s="65">
        <v>1</v>
      </c>
      <c r="H8" s="65">
        <v>1</v>
      </c>
      <c r="I8" s="65">
        <v>1</v>
      </c>
      <c r="J8" s="65">
        <v>7</v>
      </c>
      <c r="K8" s="65">
        <v>7</v>
      </c>
      <c r="L8" s="65">
        <v>3</v>
      </c>
      <c r="M8" s="65">
        <v>1</v>
      </c>
      <c r="N8" s="65">
        <v>1</v>
      </c>
      <c r="O8" s="65">
        <v>1</v>
      </c>
      <c r="P8" s="65">
        <v>7</v>
      </c>
      <c r="Q8" s="16">
        <v>7</v>
      </c>
      <c r="R8" s="25">
        <f t="shared" si="1"/>
        <v>0.1044776119402985</v>
      </c>
      <c r="S8" s="25">
        <f t="shared" si="2"/>
        <v>0.10880829015544043</v>
      </c>
      <c r="T8" s="25">
        <f t="shared" si="3"/>
        <v>0.1044776119402985</v>
      </c>
      <c r="U8" s="25">
        <f t="shared" si="4"/>
        <v>0.10880829015544043</v>
      </c>
      <c r="V8" s="25">
        <f t="shared" si="5"/>
        <v>0.10880829015544043</v>
      </c>
      <c r="W8" s="25">
        <f t="shared" si="6"/>
        <v>0.10880829015544043</v>
      </c>
      <c r="X8" s="25">
        <f t="shared" si="7"/>
        <v>0.10880829015544043</v>
      </c>
      <c r="Y8" s="25">
        <f t="shared" si="8"/>
        <v>0.1044776119402985</v>
      </c>
      <c r="Z8" s="25">
        <f t="shared" si="9"/>
        <v>0.1044776119402985</v>
      </c>
      <c r="AA8" s="25">
        <f t="shared" si="10"/>
        <v>0.11450381679389315</v>
      </c>
      <c r="AB8" s="25">
        <f t="shared" si="11"/>
        <v>0.10880829015544043</v>
      </c>
      <c r="AC8" s="25">
        <f t="shared" si="12"/>
        <v>0.10880829015544043</v>
      </c>
      <c r="AD8" s="25">
        <f t="shared" si="13"/>
        <v>0.10880829015544043</v>
      </c>
      <c r="AE8" s="25">
        <f t="shared" si="14"/>
        <v>0.1044776119402985</v>
      </c>
      <c r="AF8" s="25">
        <f t="shared" si="15"/>
        <v>0.1044776119402985</v>
      </c>
      <c r="AG8" s="39">
        <f t="shared" si="16"/>
        <v>0.1074557206452805</v>
      </c>
      <c r="AH8" s="1"/>
      <c r="AI8" s="107">
        <f t="shared" si="17"/>
        <v>1.6351695227930279</v>
      </c>
      <c r="AJ8" s="108">
        <f t="shared" si="18"/>
        <v>15.21714723956714</v>
      </c>
      <c r="AK8" s="101"/>
      <c r="AL8" s="101"/>
      <c r="AM8" s="101"/>
      <c r="AN8" s="1"/>
      <c r="AO8" s="35"/>
      <c r="AP8" s="35"/>
    </row>
    <row r="9" spans="1:42" ht="15" thickBot="1" x14ac:dyDescent="0.35">
      <c r="A9" s="1"/>
      <c r="B9" s="48" t="s">
        <v>25</v>
      </c>
      <c r="C9" s="70">
        <f>1/H4</f>
        <v>7</v>
      </c>
      <c r="D9" s="65">
        <f>1/H5</f>
        <v>1</v>
      </c>
      <c r="E9" s="65">
        <f>1/H6</f>
        <v>7</v>
      </c>
      <c r="F9" s="65">
        <f>1/H7</f>
        <v>1</v>
      </c>
      <c r="G9" s="65">
        <f>1/H8</f>
        <v>1</v>
      </c>
      <c r="H9" s="65">
        <v>1</v>
      </c>
      <c r="I9" s="65">
        <v>1</v>
      </c>
      <c r="J9" s="65">
        <v>7</v>
      </c>
      <c r="K9" s="65">
        <v>7</v>
      </c>
      <c r="L9" s="65">
        <v>3</v>
      </c>
      <c r="M9" s="65">
        <v>1</v>
      </c>
      <c r="N9" s="65">
        <v>1</v>
      </c>
      <c r="O9" s="65">
        <v>1</v>
      </c>
      <c r="P9" s="65">
        <v>7</v>
      </c>
      <c r="Q9" s="16">
        <v>7</v>
      </c>
      <c r="R9" s="25">
        <f t="shared" si="1"/>
        <v>0.1044776119402985</v>
      </c>
      <c r="S9" s="25">
        <f t="shared" si="2"/>
        <v>0.10880829015544043</v>
      </c>
      <c r="T9" s="25">
        <f t="shared" si="3"/>
        <v>0.1044776119402985</v>
      </c>
      <c r="U9" s="25">
        <f t="shared" si="4"/>
        <v>0.10880829015544043</v>
      </c>
      <c r="V9" s="25">
        <f t="shared" si="5"/>
        <v>0.10880829015544043</v>
      </c>
      <c r="W9" s="25">
        <f t="shared" si="6"/>
        <v>0.10880829015544043</v>
      </c>
      <c r="X9" s="25">
        <f t="shared" si="7"/>
        <v>0.10880829015544043</v>
      </c>
      <c r="Y9" s="25">
        <f t="shared" si="8"/>
        <v>0.1044776119402985</v>
      </c>
      <c r="Z9" s="25">
        <f t="shared" si="9"/>
        <v>0.1044776119402985</v>
      </c>
      <c r="AA9" s="25">
        <f t="shared" si="10"/>
        <v>0.11450381679389315</v>
      </c>
      <c r="AB9" s="25">
        <f t="shared" si="11"/>
        <v>0.10880829015544043</v>
      </c>
      <c r="AC9" s="25">
        <f t="shared" si="12"/>
        <v>0.10880829015544043</v>
      </c>
      <c r="AD9" s="25">
        <f t="shared" si="13"/>
        <v>0.10880829015544043</v>
      </c>
      <c r="AE9" s="25">
        <f t="shared" si="14"/>
        <v>0.1044776119402985</v>
      </c>
      <c r="AF9" s="25">
        <f t="shared" si="15"/>
        <v>0.1044776119402985</v>
      </c>
      <c r="AG9" s="39">
        <f t="shared" si="16"/>
        <v>0.1074557206452805</v>
      </c>
      <c r="AH9" s="1"/>
      <c r="AI9" s="107">
        <f t="shared" si="17"/>
        <v>1.6351695227930279</v>
      </c>
      <c r="AJ9" s="108">
        <f t="shared" si="18"/>
        <v>15.21714723956714</v>
      </c>
    </row>
    <row r="10" spans="1:42" ht="15" thickBot="1" x14ac:dyDescent="0.35">
      <c r="A10" s="1"/>
      <c r="B10" s="48" t="s">
        <v>27</v>
      </c>
      <c r="C10" s="70">
        <f>1/I4</f>
        <v>7</v>
      </c>
      <c r="D10" s="65">
        <f>1/I5</f>
        <v>1</v>
      </c>
      <c r="E10" s="65">
        <f>1/I6</f>
        <v>7</v>
      </c>
      <c r="F10" s="65">
        <f>1/I7</f>
        <v>1</v>
      </c>
      <c r="G10" s="65">
        <f>1/I8</f>
        <v>1</v>
      </c>
      <c r="H10" s="65">
        <f>1/I9</f>
        <v>1</v>
      </c>
      <c r="I10" s="65">
        <v>1</v>
      </c>
      <c r="J10" s="65">
        <v>7</v>
      </c>
      <c r="K10" s="65">
        <v>7</v>
      </c>
      <c r="L10" s="65">
        <v>3</v>
      </c>
      <c r="M10" s="65">
        <v>1</v>
      </c>
      <c r="N10" s="65">
        <v>1</v>
      </c>
      <c r="O10" s="65">
        <v>1</v>
      </c>
      <c r="P10" s="65">
        <v>7</v>
      </c>
      <c r="Q10" s="16">
        <v>7</v>
      </c>
      <c r="R10" s="25">
        <f t="shared" si="1"/>
        <v>0.1044776119402985</v>
      </c>
      <c r="S10" s="25">
        <f t="shared" si="2"/>
        <v>0.10880829015544043</v>
      </c>
      <c r="T10" s="25">
        <f t="shared" si="3"/>
        <v>0.1044776119402985</v>
      </c>
      <c r="U10" s="25">
        <f t="shared" si="4"/>
        <v>0.10880829015544043</v>
      </c>
      <c r="V10" s="25">
        <f t="shared" si="5"/>
        <v>0.10880829015544043</v>
      </c>
      <c r="W10" s="25">
        <f t="shared" si="6"/>
        <v>0.10880829015544043</v>
      </c>
      <c r="X10" s="25">
        <f t="shared" si="7"/>
        <v>0.10880829015544043</v>
      </c>
      <c r="Y10" s="25">
        <f t="shared" si="8"/>
        <v>0.1044776119402985</v>
      </c>
      <c r="Z10" s="25">
        <f t="shared" si="9"/>
        <v>0.1044776119402985</v>
      </c>
      <c r="AA10" s="25">
        <f t="shared" si="10"/>
        <v>0.11450381679389315</v>
      </c>
      <c r="AB10" s="25">
        <f t="shared" si="11"/>
        <v>0.10880829015544043</v>
      </c>
      <c r="AC10" s="25">
        <f t="shared" si="12"/>
        <v>0.10880829015544043</v>
      </c>
      <c r="AD10" s="25">
        <f t="shared" si="13"/>
        <v>0.10880829015544043</v>
      </c>
      <c r="AE10" s="25">
        <f t="shared" si="14"/>
        <v>0.1044776119402985</v>
      </c>
      <c r="AF10" s="25">
        <f t="shared" si="15"/>
        <v>0.1044776119402985</v>
      </c>
      <c r="AG10" s="39">
        <f t="shared" si="16"/>
        <v>0.1074557206452805</v>
      </c>
      <c r="AH10" s="1"/>
      <c r="AI10" s="107">
        <f t="shared" si="17"/>
        <v>1.6351695227930279</v>
      </c>
      <c r="AJ10" s="108">
        <f t="shared" si="18"/>
        <v>15.21714723956714</v>
      </c>
    </row>
    <row r="11" spans="1:42" ht="15" thickBot="1" x14ac:dyDescent="0.35">
      <c r="A11" s="1"/>
      <c r="B11" s="50" t="s">
        <v>20</v>
      </c>
      <c r="C11" s="70">
        <f>1/J4</f>
        <v>1</v>
      </c>
      <c r="D11" s="65">
        <f>1/J5</f>
        <v>0.14285714285714285</v>
      </c>
      <c r="E11" s="65">
        <f>1/J6</f>
        <v>1</v>
      </c>
      <c r="F11" s="65">
        <f>1/J7</f>
        <v>0.14285714285714285</v>
      </c>
      <c r="G11" s="65">
        <f>1/J8</f>
        <v>0.14285714285714285</v>
      </c>
      <c r="H11" s="65">
        <f>1/J9</f>
        <v>0.14285714285714285</v>
      </c>
      <c r="I11" s="65">
        <f>1/J10</f>
        <v>0.14285714285714285</v>
      </c>
      <c r="J11" s="65">
        <v>1</v>
      </c>
      <c r="K11" s="65">
        <v>1</v>
      </c>
      <c r="L11" s="65">
        <v>0.2</v>
      </c>
      <c r="M11" s="65">
        <v>0.14285714285714285</v>
      </c>
      <c r="N11" s="65">
        <v>0.14285714285714285</v>
      </c>
      <c r="O11" s="65">
        <v>0.14285714285714285</v>
      </c>
      <c r="P11" s="65">
        <v>1</v>
      </c>
      <c r="Q11" s="16">
        <v>1</v>
      </c>
      <c r="R11" s="25">
        <f t="shared" si="1"/>
        <v>1.4925373134328358E-2</v>
      </c>
      <c r="S11" s="25">
        <f t="shared" si="2"/>
        <v>1.5544041450777202E-2</v>
      </c>
      <c r="T11" s="25">
        <f t="shared" si="3"/>
        <v>1.4925373134328358E-2</v>
      </c>
      <c r="U11" s="25">
        <f t="shared" si="4"/>
        <v>1.5544041450777202E-2</v>
      </c>
      <c r="V11" s="25">
        <f t="shared" si="5"/>
        <v>1.5544041450777202E-2</v>
      </c>
      <c r="W11" s="25">
        <f t="shared" si="6"/>
        <v>1.5544041450777202E-2</v>
      </c>
      <c r="X11" s="25">
        <f t="shared" si="7"/>
        <v>1.5544041450777202E-2</v>
      </c>
      <c r="Y11" s="25">
        <f t="shared" si="8"/>
        <v>1.4925373134328358E-2</v>
      </c>
      <c r="Z11" s="25">
        <f t="shared" si="9"/>
        <v>1.4925373134328358E-2</v>
      </c>
      <c r="AA11" s="25">
        <f t="shared" si="10"/>
        <v>7.6335877862595434E-3</v>
      </c>
      <c r="AB11" s="25">
        <f t="shared" si="11"/>
        <v>1.5544041450777202E-2</v>
      </c>
      <c r="AC11" s="25">
        <f t="shared" si="12"/>
        <v>1.5544041450777202E-2</v>
      </c>
      <c r="AD11" s="25">
        <f t="shared" si="13"/>
        <v>1.5544041450777202E-2</v>
      </c>
      <c r="AE11" s="25">
        <f t="shared" si="14"/>
        <v>1.4925373134328358E-2</v>
      </c>
      <c r="AF11" s="25">
        <f t="shared" si="15"/>
        <v>1.4925373134328358E-2</v>
      </c>
      <c r="AG11" s="39">
        <f t="shared" si="16"/>
        <v>1.4769210546563154E-2</v>
      </c>
      <c r="AH11" s="1"/>
      <c r="AI11" s="107">
        <f t="shared" si="17"/>
        <v>0.22176959547137493</v>
      </c>
      <c r="AJ11" s="108">
        <f t="shared" si="18"/>
        <v>15.015670253477527</v>
      </c>
    </row>
    <row r="12" spans="1:42" ht="15" thickBot="1" x14ac:dyDescent="0.35">
      <c r="A12" s="1"/>
      <c r="B12" s="48" t="s">
        <v>19</v>
      </c>
      <c r="C12" s="70">
        <f>1/K4</f>
        <v>1</v>
      </c>
      <c r="D12" s="65">
        <f>1/K5</f>
        <v>0.14285714285714285</v>
      </c>
      <c r="E12" s="65">
        <f>1/K6</f>
        <v>1</v>
      </c>
      <c r="F12" s="65">
        <f>1/K7</f>
        <v>0.14285714285714285</v>
      </c>
      <c r="G12" s="65">
        <f>1/K8</f>
        <v>0.14285714285714285</v>
      </c>
      <c r="H12" s="65">
        <f>1/K9</f>
        <v>0.14285714285714285</v>
      </c>
      <c r="I12" s="65">
        <f>1/K10</f>
        <v>0.14285714285714285</v>
      </c>
      <c r="J12" s="65">
        <f>1/K11</f>
        <v>1</v>
      </c>
      <c r="K12" s="65">
        <v>1</v>
      </c>
      <c r="L12" s="65">
        <v>0.2</v>
      </c>
      <c r="M12" s="65">
        <v>0.14285714285714285</v>
      </c>
      <c r="N12" s="65">
        <v>0.14285714285714285</v>
      </c>
      <c r="O12" s="65">
        <v>0.14285714285714285</v>
      </c>
      <c r="P12" s="65">
        <v>1</v>
      </c>
      <c r="Q12" s="16">
        <v>1</v>
      </c>
      <c r="R12" s="25">
        <f t="shared" si="1"/>
        <v>1.4925373134328358E-2</v>
      </c>
      <c r="S12" s="25">
        <f t="shared" si="2"/>
        <v>1.5544041450777202E-2</v>
      </c>
      <c r="T12" s="25">
        <f t="shared" si="3"/>
        <v>1.4925373134328358E-2</v>
      </c>
      <c r="U12" s="25">
        <f t="shared" si="4"/>
        <v>1.5544041450777202E-2</v>
      </c>
      <c r="V12" s="25">
        <f t="shared" si="5"/>
        <v>1.5544041450777202E-2</v>
      </c>
      <c r="W12" s="25">
        <f t="shared" si="6"/>
        <v>1.5544041450777202E-2</v>
      </c>
      <c r="X12" s="25">
        <f t="shared" si="7"/>
        <v>1.5544041450777202E-2</v>
      </c>
      <c r="Y12" s="25">
        <f t="shared" si="8"/>
        <v>1.4925373134328358E-2</v>
      </c>
      <c r="Z12" s="25">
        <f t="shared" si="9"/>
        <v>1.4925373134328358E-2</v>
      </c>
      <c r="AA12" s="25">
        <f t="shared" si="10"/>
        <v>7.6335877862595434E-3</v>
      </c>
      <c r="AB12" s="25">
        <f t="shared" si="11"/>
        <v>1.5544041450777202E-2</v>
      </c>
      <c r="AC12" s="25">
        <f t="shared" si="12"/>
        <v>1.5544041450777202E-2</v>
      </c>
      <c r="AD12" s="25">
        <f t="shared" si="13"/>
        <v>1.5544041450777202E-2</v>
      </c>
      <c r="AE12" s="25">
        <f t="shared" si="14"/>
        <v>1.4925373134328358E-2</v>
      </c>
      <c r="AF12" s="25">
        <f t="shared" si="15"/>
        <v>1.4925373134328358E-2</v>
      </c>
      <c r="AG12" s="39">
        <f t="shared" si="16"/>
        <v>1.4769210546563154E-2</v>
      </c>
      <c r="AH12" s="1"/>
      <c r="AI12" s="107">
        <f t="shared" si="17"/>
        <v>0.22176959547137493</v>
      </c>
      <c r="AJ12" s="108">
        <f t="shared" si="18"/>
        <v>15.015670253477527</v>
      </c>
    </row>
    <row r="13" spans="1:42" ht="15" thickBot="1" x14ac:dyDescent="0.35">
      <c r="A13" s="1"/>
      <c r="B13" s="50" t="s">
        <v>32</v>
      </c>
      <c r="C13" s="70">
        <f>1/L4</f>
        <v>5</v>
      </c>
      <c r="D13" s="65">
        <f>1/L5</f>
        <v>0.33333333333333331</v>
      </c>
      <c r="E13" s="65">
        <f>1/L6</f>
        <v>5</v>
      </c>
      <c r="F13" s="65">
        <f>1/L7</f>
        <v>0.33333333333333331</v>
      </c>
      <c r="G13" s="65">
        <f>1/L8</f>
        <v>0.33333333333333331</v>
      </c>
      <c r="H13" s="65">
        <f>1/L9</f>
        <v>0.33333333333333331</v>
      </c>
      <c r="I13" s="65">
        <f>1/L10</f>
        <v>0.33333333333333331</v>
      </c>
      <c r="J13" s="65">
        <f>1/L11</f>
        <v>5</v>
      </c>
      <c r="K13" s="65">
        <f>1/L12</f>
        <v>5</v>
      </c>
      <c r="L13" s="65">
        <v>1</v>
      </c>
      <c r="M13" s="65">
        <v>0.33333333333333331</v>
      </c>
      <c r="N13" s="65">
        <v>0.33333333333333331</v>
      </c>
      <c r="O13" s="65">
        <v>0.33333333333333331</v>
      </c>
      <c r="P13" s="65">
        <v>5</v>
      </c>
      <c r="Q13" s="16">
        <v>5</v>
      </c>
      <c r="R13" s="25">
        <f t="shared" si="1"/>
        <v>7.4626865671641784E-2</v>
      </c>
      <c r="S13" s="25">
        <f t="shared" si="2"/>
        <v>3.6269430051813475E-2</v>
      </c>
      <c r="T13" s="25">
        <f t="shared" si="3"/>
        <v>7.4626865671641784E-2</v>
      </c>
      <c r="U13" s="25">
        <f t="shared" si="4"/>
        <v>3.6269430051813475E-2</v>
      </c>
      <c r="V13" s="25">
        <f t="shared" si="5"/>
        <v>3.6269430051813475E-2</v>
      </c>
      <c r="W13" s="25">
        <f t="shared" si="6"/>
        <v>3.6269430051813475E-2</v>
      </c>
      <c r="X13" s="25">
        <f t="shared" si="7"/>
        <v>3.6269430051813475E-2</v>
      </c>
      <c r="Y13" s="25">
        <f t="shared" si="8"/>
        <v>7.4626865671641784E-2</v>
      </c>
      <c r="Z13" s="25">
        <f t="shared" si="9"/>
        <v>7.4626865671641784E-2</v>
      </c>
      <c r="AA13" s="25">
        <f t="shared" si="10"/>
        <v>3.8167938931297718E-2</v>
      </c>
      <c r="AB13" s="25">
        <f t="shared" si="11"/>
        <v>3.6269430051813475E-2</v>
      </c>
      <c r="AC13" s="25">
        <f t="shared" si="12"/>
        <v>3.6269430051813475E-2</v>
      </c>
      <c r="AD13" s="25">
        <f t="shared" si="13"/>
        <v>3.6269430051813475E-2</v>
      </c>
      <c r="AE13" s="25">
        <f t="shared" si="14"/>
        <v>7.4626865671641784E-2</v>
      </c>
      <c r="AF13" s="25">
        <f t="shared" si="15"/>
        <v>7.4626865671641784E-2</v>
      </c>
      <c r="AG13" s="39">
        <f t="shared" si="16"/>
        <v>5.1738971558377096E-2</v>
      </c>
      <c r="AH13" s="1"/>
      <c r="AI13" s="107">
        <f t="shared" si="17"/>
        <v>0.78136387634268645</v>
      </c>
      <c r="AJ13" s="108">
        <f t="shared" si="18"/>
        <v>15.102037261430166</v>
      </c>
    </row>
    <row r="14" spans="1:42" ht="15" thickBot="1" x14ac:dyDescent="0.35">
      <c r="A14" s="1"/>
      <c r="B14" s="50" t="s">
        <v>26</v>
      </c>
      <c r="C14" s="70">
        <f>1/M4</f>
        <v>7</v>
      </c>
      <c r="D14" s="65">
        <f>1/M5</f>
        <v>1</v>
      </c>
      <c r="E14" s="65">
        <f>1/M6</f>
        <v>7</v>
      </c>
      <c r="F14" s="65">
        <f>1/M7</f>
        <v>1</v>
      </c>
      <c r="G14" s="65">
        <f>1/M8</f>
        <v>1</v>
      </c>
      <c r="H14" s="65">
        <f>1/M9</f>
        <v>1</v>
      </c>
      <c r="I14" s="65">
        <f>1/M10</f>
        <v>1</v>
      </c>
      <c r="J14" s="65">
        <f>1/M11</f>
        <v>7</v>
      </c>
      <c r="K14" s="65">
        <f>1/M12</f>
        <v>7</v>
      </c>
      <c r="L14" s="65">
        <f>1/M13</f>
        <v>3</v>
      </c>
      <c r="M14" s="65">
        <v>1</v>
      </c>
      <c r="N14" s="65">
        <v>1</v>
      </c>
      <c r="O14" s="65">
        <v>1</v>
      </c>
      <c r="P14" s="65">
        <v>7</v>
      </c>
      <c r="Q14" s="16">
        <v>7</v>
      </c>
      <c r="R14" s="25">
        <f t="shared" si="1"/>
        <v>0.1044776119402985</v>
      </c>
      <c r="S14" s="25">
        <f t="shared" si="2"/>
        <v>0.10880829015544043</v>
      </c>
      <c r="T14" s="25">
        <f t="shared" si="3"/>
        <v>0.1044776119402985</v>
      </c>
      <c r="U14" s="25">
        <f t="shared" si="4"/>
        <v>0.10880829015544043</v>
      </c>
      <c r="V14" s="25">
        <f t="shared" si="5"/>
        <v>0.10880829015544043</v>
      </c>
      <c r="W14" s="25">
        <f t="shared" si="6"/>
        <v>0.10880829015544043</v>
      </c>
      <c r="X14" s="25">
        <f t="shared" si="7"/>
        <v>0.10880829015544043</v>
      </c>
      <c r="Y14" s="25">
        <f t="shared" si="8"/>
        <v>0.1044776119402985</v>
      </c>
      <c r="Z14" s="25">
        <f t="shared" si="9"/>
        <v>0.1044776119402985</v>
      </c>
      <c r="AA14" s="25">
        <f t="shared" si="10"/>
        <v>0.11450381679389315</v>
      </c>
      <c r="AB14" s="25">
        <f t="shared" si="11"/>
        <v>0.10880829015544043</v>
      </c>
      <c r="AC14" s="25">
        <f t="shared" si="12"/>
        <v>0.10880829015544043</v>
      </c>
      <c r="AD14" s="25">
        <f t="shared" si="13"/>
        <v>0.10880829015544043</v>
      </c>
      <c r="AE14" s="25">
        <f t="shared" si="14"/>
        <v>0.1044776119402985</v>
      </c>
      <c r="AF14" s="25">
        <f t="shared" si="15"/>
        <v>0.1044776119402985</v>
      </c>
      <c r="AG14" s="39">
        <f t="shared" si="16"/>
        <v>0.1074557206452805</v>
      </c>
      <c r="AH14" s="1"/>
      <c r="AI14" s="107">
        <f t="shared" si="17"/>
        <v>1.6351695227930279</v>
      </c>
      <c r="AJ14" s="108">
        <f t="shared" si="18"/>
        <v>15.21714723956714</v>
      </c>
    </row>
    <row r="15" spans="1:42" ht="15" thickBot="1" x14ac:dyDescent="0.35">
      <c r="A15" s="1"/>
      <c r="B15" s="48" t="s">
        <v>30</v>
      </c>
      <c r="C15" s="70">
        <f>1/N4</f>
        <v>7</v>
      </c>
      <c r="D15" s="65">
        <f>1/N5</f>
        <v>1</v>
      </c>
      <c r="E15" s="65">
        <f>1/N6</f>
        <v>7</v>
      </c>
      <c r="F15" s="65">
        <f>1/N7</f>
        <v>1</v>
      </c>
      <c r="G15" s="65">
        <f>1/N8</f>
        <v>1</v>
      </c>
      <c r="H15" s="65">
        <f>1/N9</f>
        <v>1</v>
      </c>
      <c r="I15" s="65">
        <f>1/N10</f>
        <v>1</v>
      </c>
      <c r="J15" s="65">
        <f>1/N11</f>
        <v>7</v>
      </c>
      <c r="K15" s="65">
        <f>1/N12</f>
        <v>7</v>
      </c>
      <c r="L15" s="65">
        <f>1/N13</f>
        <v>3</v>
      </c>
      <c r="M15" s="65">
        <f>1/N14</f>
        <v>1</v>
      </c>
      <c r="N15" s="65">
        <v>1</v>
      </c>
      <c r="O15" s="65">
        <v>1</v>
      </c>
      <c r="P15" s="65">
        <v>7</v>
      </c>
      <c r="Q15" s="16">
        <v>7</v>
      </c>
      <c r="R15" s="25">
        <f t="shared" si="1"/>
        <v>0.1044776119402985</v>
      </c>
      <c r="S15" s="25">
        <f t="shared" si="2"/>
        <v>0.10880829015544043</v>
      </c>
      <c r="T15" s="25">
        <f t="shared" si="3"/>
        <v>0.1044776119402985</v>
      </c>
      <c r="U15" s="25">
        <f t="shared" si="4"/>
        <v>0.10880829015544043</v>
      </c>
      <c r="V15" s="25">
        <f t="shared" si="5"/>
        <v>0.10880829015544043</v>
      </c>
      <c r="W15" s="25">
        <f t="shared" si="6"/>
        <v>0.10880829015544043</v>
      </c>
      <c r="X15" s="25">
        <f t="shared" si="7"/>
        <v>0.10880829015544043</v>
      </c>
      <c r="Y15" s="25">
        <f t="shared" si="8"/>
        <v>0.1044776119402985</v>
      </c>
      <c r="Z15" s="25">
        <f t="shared" si="9"/>
        <v>0.1044776119402985</v>
      </c>
      <c r="AA15" s="25">
        <f t="shared" si="10"/>
        <v>0.11450381679389315</v>
      </c>
      <c r="AB15" s="25">
        <f t="shared" si="11"/>
        <v>0.10880829015544043</v>
      </c>
      <c r="AC15" s="25">
        <f t="shared" si="12"/>
        <v>0.10880829015544043</v>
      </c>
      <c r="AD15" s="25">
        <f t="shared" si="13"/>
        <v>0.10880829015544043</v>
      </c>
      <c r="AE15" s="25">
        <f t="shared" si="14"/>
        <v>0.1044776119402985</v>
      </c>
      <c r="AF15" s="25">
        <f t="shared" si="15"/>
        <v>0.1044776119402985</v>
      </c>
      <c r="AG15" s="39">
        <f t="shared" si="16"/>
        <v>0.1074557206452805</v>
      </c>
      <c r="AH15" s="1"/>
      <c r="AI15" s="107">
        <f t="shared" si="17"/>
        <v>1.6351695227930279</v>
      </c>
      <c r="AJ15" s="108">
        <f t="shared" si="18"/>
        <v>15.21714723956714</v>
      </c>
    </row>
    <row r="16" spans="1:42" ht="15" thickBot="1" x14ac:dyDescent="0.35">
      <c r="A16" s="1"/>
      <c r="B16" s="50" t="s">
        <v>28</v>
      </c>
      <c r="C16" s="70">
        <f>1/O4</f>
        <v>7</v>
      </c>
      <c r="D16" s="65">
        <f>1/O5</f>
        <v>1</v>
      </c>
      <c r="E16" s="65">
        <f>1/O6</f>
        <v>7</v>
      </c>
      <c r="F16" s="65">
        <f>1/O7</f>
        <v>1</v>
      </c>
      <c r="G16" s="65">
        <f>1/O8</f>
        <v>1</v>
      </c>
      <c r="H16" s="65">
        <f>1/O9</f>
        <v>1</v>
      </c>
      <c r="I16" s="65">
        <f>1/O10</f>
        <v>1</v>
      </c>
      <c r="J16" s="65">
        <f>1/O11</f>
        <v>7</v>
      </c>
      <c r="K16" s="65">
        <f>1/O12</f>
        <v>7</v>
      </c>
      <c r="L16" s="65">
        <f>1/O13</f>
        <v>3</v>
      </c>
      <c r="M16" s="65">
        <f>1/O14</f>
        <v>1</v>
      </c>
      <c r="N16" s="65">
        <f>1/O15</f>
        <v>1</v>
      </c>
      <c r="O16" s="65">
        <v>1</v>
      </c>
      <c r="P16" s="65">
        <v>7</v>
      </c>
      <c r="Q16" s="16">
        <v>7</v>
      </c>
      <c r="R16" s="25">
        <f t="shared" si="1"/>
        <v>0.1044776119402985</v>
      </c>
      <c r="S16" s="25">
        <f t="shared" si="2"/>
        <v>0.10880829015544043</v>
      </c>
      <c r="T16" s="25">
        <f t="shared" si="3"/>
        <v>0.1044776119402985</v>
      </c>
      <c r="U16" s="25">
        <f t="shared" si="4"/>
        <v>0.10880829015544043</v>
      </c>
      <c r="V16" s="25">
        <f t="shared" si="5"/>
        <v>0.10880829015544043</v>
      </c>
      <c r="W16" s="25">
        <f t="shared" si="6"/>
        <v>0.10880829015544043</v>
      </c>
      <c r="X16" s="25">
        <f t="shared" si="7"/>
        <v>0.10880829015544043</v>
      </c>
      <c r="Y16" s="25">
        <f t="shared" si="8"/>
        <v>0.1044776119402985</v>
      </c>
      <c r="Z16" s="25">
        <f t="shared" si="9"/>
        <v>0.1044776119402985</v>
      </c>
      <c r="AA16" s="25">
        <f t="shared" si="10"/>
        <v>0.11450381679389315</v>
      </c>
      <c r="AB16" s="25">
        <f t="shared" si="11"/>
        <v>0.10880829015544043</v>
      </c>
      <c r="AC16" s="25">
        <f t="shared" si="12"/>
        <v>0.10880829015544043</v>
      </c>
      <c r="AD16" s="25">
        <f t="shared" si="13"/>
        <v>0.10880829015544043</v>
      </c>
      <c r="AE16" s="25">
        <f t="shared" si="14"/>
        <v>0.1044776119402985</v>
      </c>
      <c r="AF16" s="25">
        <f t="shared" si="15"/>
        <v>0.1044776119402985</v>
      </c>
      <c r="AG16" s="39">
        <f t="shared" si="16"/>
        <v>0.1074557206452805</v>
      </c>
      <c r="AH16" s="1"/>
      <c r="AI16" s="107">
        <f t="shared" si="17"/>
        <v>1.6351695227930279</v>
      </c>
      <c r="AJ16" s="108">
        <f t="shared" si="18"/>
        <v>15.21714723956714</v>
      </c>
    </row>
    <row r="17" spans="1:36" ht="15" thickBot="1" x14ac:dyDescent="0.35">
      <c r="A17" s="1"/>
      <c r="B17" s="50" t="s">
        <v>23</v>
      </c>
      <c r="C17" s="70">
        <f>1/P4</f>
        <v>1</v>
      </c>
      <c r="D17" s="65">
        <f>1/P5</f>
        <v>0.14285714285714285</v>
      </c>
      <c r="E17" s="65">
        <f>1/P6</f>
        <v>1</v>
      </c>
      <c r="F17" s="65">
        <f>1/P7</f>
        <v>0.14285714285714285</v>
      </c>
      <c r="G17" s="65">
        <f>1/P8</f>
        <v>0.14285714285714285</v>
      </c>
      <c r="H17" s="65">
        <f>1/P9</f>
        <v>0.14285714285714285</v>
      </c>
      <c r="I17" s="65">
        <f>1/P10</f>
        <v>0.14285714285714285</v>
      </c>
      <c r="J17" s="65">
        <f>1/P11</f>
        <v>1</v>
      </c>
      <c r="K17" s="65">
        <f>1/P12</f>
        <v>1</v>
      </c>
      <c r="L17" s="65">
        <f>1/P13</f>
        <v>0.2</v>
      </c>
      <c r="M17" s="65">
        <f>1/P14</f>
        <v>0.14285714285714285</v>
      </c>
      <c r="N17" s="65">
        <f>1/P15</f>
        <v>0.14285714285714285</v>
      </c>
      <c r="O17" s="65">
        <f>1/P16</f>
        <v>0.14285714285714285</v>
      </c>
      <c r="P17" s="65">
        <v>1</v>
      </c>
      <c r="Q17" s="16">
        <v>1</v>
      </c>
      <c r="R17" s="25">
        <f t="shared" si="1"/>
        <v>1.4925373134328358E-2</v>
      </c>
      <c r="S17" s="25">
        <f t="shared" si="2"/>
        <v>1.5544041450777202E-2</v>
      </c>
      <c r="T17" s="25">
        <f t="shared" si="3"/>
        <v>1.4925373134328358E-2</v>
      </c>
      <c r="U17" s="25">
        <f t="shared" si="4"/>
        <v>1.5544041450777202E-2</v>
      </c>
      <c r="V17" s="25">
        <f t="shared" si="5"/>
        <v>1.5544041450777202E-2</v>
      </c>
      <c r="W17" s="25">
        <f t="shared" si="6"/>
        <v>1.5544041450777202E-2</v>
      </c>
      <c r="X17" s="25">
        <f t="shared" si="7"/>
        <v>1.5544041450777202E-2</v>
      </c>
      <c r="Y17" s="25">
        <f t="shared" si="8"/>
        <v>1.4925373134328358E-2</v>
      </c>
      <c r="Z17" s="25">
        <f t="shared" si="9"/>
        <v>1.4925373134328358E-2</v>
      </c>
      <c r="AA17" s="25">
        <f t="shared" si="10"/>
        <v>7.6335877862595434E-3</v>
      </c>
      <c r="AB17" s="25">
        <f t="shared" si="11"/>
        <v>1.5544041450777202E-2</v>
      </c>
      <c r="AC17" s="25">
        <f t="shared" si="12"/>
        <v>1.5544041450777202E-2</v>
      </c>
      <c r="AD17" s="25">
        <f t="shared" si="13"/>
        <v>1.5544041450777202E-2</v>
      </c>
      <c r="AE17" s="25">
        <f t="shared" si="14"/>
        <v>1.4925373134328358E-2</v>
      </c>
      <c r="AF17" s="25">
        <f t="shared" si="15"/>
        <v>1.4925373134328358E-2</v>
      </c>
      <c r="AG17" s="39">
        <f t="shared" si="16"/>
        <v>1.4769210546563154E-2</v>
      </c>
      <c r="AH17" s="1"/>
      <c r="AI17" s="107">
        <f t="shared" si="17"/>
        <v>0.22176959547137493</v>
      </c>
      <c r="AJ17" s="108">
        <f t="shared" si="18"/>
        <v>15.015670253477527</v>
      </c>
    </row>
    <row r="18" spans="1:36" ht="15" thickBot="1" x14ac:dyDescent="0.35">
      <c r="A18" s="1"/>
      <c r="B18" s="48" t="s">
        <v>21</v>
      </c>
      <c r="C18" s="71">
        <f>1/Q4</f>
        <v>1</v>
      </c>
      <c r="D18" s="72">
        <f>1/Q5</f>
        <v>0.14285714285714285</v>
      </c>
      <c r="E18" s="72">
        <f>1/Q6</f>
        <v>1</v>
      </c>
      <c r="F18" s="72">
        <f>1/Q7</f>
        <v>0.14285714285714285</v>
      </c>
      <c r="G18" s="72">
        <f>1/Q8</f>
        <v>0.14285714285714285</v>
      </c>
      <c r="H18" s="72">
        <f>1/Q9</f>
        <v>0.14285714285714285</v>
      </c>
      <c r="I18" s="72">
        <f>1/Q10</f>
        <v>0.14285714285714285</v>
      </c>
      <c r="J18" s="72">
        <f>1/Q11</f>
        <v>1</v>
      </c>
      <c r="K18" s="72">
        <f>1/Q12</f>
        <v>1</v>
      </c>
      <c r="L18" s="72">
        <f>1/Q13</f>
        <v>0.2</v>
      </c>
      <c r="M18" s="72">
        <f>1/Q14</f>
        <v>0.14285714285714285</v>
      </c>
      <c r="N18" s="72">
        <f>1/Q15</f>
        <v>0.14285714285714285</v>
      </c>
      <c r="O18" s="72">
        <f>1/Q16</f>
        <v>0.14285714285714285</v>
      </c>
      <c r="P18" s="72">
        <f>1/Q17</f>
        <v>1</v>
      </c>
      <c r="Q18" s="17">
        <v>1</v>
      </c>
      <c r="R18" s="25">
        <f t="shared" si="1"/>
        <v>1.4925373134328358E-2</v>
      </c>
      <c r="S18" s="25">
        <f t="shared" si="2"/>
        <v>1.5544041450777202E-2</v>
      </c>
      <c r="T18" s="25">
        <f t="shared" si="3"/>
        <v>1.4925373134328358E-2</v>
      </c>
      <c r="U18" s="25">
        <f t="shared" si="4"/>
        <v>1.5544041450777202E-2</v>
      </c>
      <c r="V18" s="25">
        <f t="shared" si="5"/>
        <v>1.5544041450777202E-2</v>
      </c>
      <c r="W18" s="25">
        <f t="shared" si="6"/>
        <v>1.5544041450777202E-2</v>
      </c>
      <c r="X18" s="25">
        <f t="shared" si="7"/>
        <v>1.5544041450777202E-2</v>
      </c>
      <c r="Y18" s="25">
        <f t="shared" si="8"/>
        <v>1.4925373134328358E-2</v>
      </c>
      <c r="Z18" s="25">
        <f t="shared" si="9"/>
        <v>1.4925373134328358E-2</v>
      </c>
      <c r="AA18" s="25">
        <f t="shared" si="10"/>
        <v>7.6335877862595434E-3</v>
      </c>
      <c r="AB18" s="25">
        <f t="shared" si="11"/>
        <v>1.5544041450777202E-2</v>
      </c>
      <c r="AC18" s="25">
        <f t="shared" si="12"/>
        <v>1.5544041450777202E-2</v>
      </c>
      <c r="AD18" s="25">
        <f t="shared" si="13"/>
        <v>1.5544041450777202E-2</v>
      </c>
      <c r="AE18" s="25">
        <f t="shared" si="14"/>
        <v>1.4925373134328358E-2</v>
      </c>
      <c r="AF18" s="25">
        <f t="shared" si="15"/>
        <v>1.4925373134328358E-2</v>
      </c>
      <c r="AG18" s="34">
        <f t="shared" si="16"/>
        <v>1.4769210546563154E-2</v>
      </c>
      <c r="AH18" s="1"/>
      <c r="AI18" s="107">
        <f t="shared" si="17"/>
        <v>0.22176959547137493</v>
      </c>
      <c r="AJ18" s="108">
        <f t="shared" si="18"/>
        <v>15.015670253477527</v>
      </c>
    </row>
    <row r="19" spans="1:36" ht="14.5" thickBot="1" x14ac:dyDescent="0.35">
      <c r="A19" s="1"/>
      <c r="B19" s="110" t="s">
        <v>7</v>
      </c>
      <c r="C19" s="127">
        <f t="shared" ref="C19:P19" si="19">SUM(C4:C18)</f>
        <v>67</v>
      </c>
      <c r="D19" s="128">
        <f t="shared" si="19"/>
        <v>9.1904761904761898</v>
      </c>
      <c r="E19" s="128">
        <f t="shared" si="19"/>
        <v>67</v>
      </c>
      <c r="F19" s="128">
        <f t="shared" si="19"/>
        <v>9.1904761904761898</v>
      </c>
      <c r="G19" s="128">
        <f t="shared" si="19"/>
        <v>9.1904761904761898</v>
      </c>
      <c r="H19" s="128">
        <f t="shared" si="19"/>
        <v>9.1904761904761898</v>
      </c>
      <c r="I19" s="128">
        <f t="shared" si="19"/>
        <v>9.1904761904761898</v>
      </c>
      <c r="J19" s="128">
        <f t="shared" si="19"/>
        <v>67</v>
      </c>
      <c r="K19" s="128">
        <f t="shared" si="19"/>
        <v>67</v>
      </c>
      <c r="L19" s="128">
        <f t="shared" si="19"/>
        <v>26.199999999999996</v>
      </c>
      <c r="M19" s="128">
        <f t="shared" si="19"/>
        <v>9.1904761904761898</v>
      </c>
      <c r="N19" s="128">
        <f t="shared" si="19"/>
        <v>9.1904761904761898</v>
      </c>
      <c r="O19" s="128">
        <f t="shared" si="19"/>
        <v>9.1904761904761898</v>
      </c>
      <c r="P19" s="128">
        <f t="shared" si="19"/>
        <v>67</v>
      </c>
      <c r="Q19" s="129">
        <f t="shared" ref="Q19" si="20">SUM(Q4:Q18)</f>
        <v>67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6" ht="14.5" thickBot="1" x14ac:dyDescent="0.35">
      <c r="B20" s="130" t="s">
        <v>9</v>
      </c>
      <c r="C20" s="131">
        <f>AG4</f>
        <v>1.4769210546563154E-2</v>
      </c>
      <c r="D20" s="131">
        <f>AG5</f>
        <v>0.1074557206452805</v>
      </c>
      <c r="E20" s="131">
        <f>AG6</f>
        <v>1.4769210546563154E-2</v>
      </c>
      <c r="F20" s="131">
        <f>AG7</f>
        <v>0.1074557206452805</v>
      </c>
      <c r="G20" s="131">
        <f>AG8</f>
        <v>0.1074557206452805</v>
      </c>
      <c r="H20" s="131">
        <f>AG9</f>
        <v>0.1074557206452805</v>
      </c>
      <c r="I20" s="131">
        <f>AG10</f>
        <v>0.1074557206452805</v>
      </c>
      <c r="J20" s="131">
        <f>AG11</f>
        <v>1.4769210546563154E-2</v>
      </c>
      <c r="K20" s="131">
        <f>AG12</f>
        <v>1.4769210546563154E-2</v>
      </c>
      <c r="L20" s="131">
        <f>AG13</f>
        <v>5.1738971558377096E-2</v>
      </c>
      <c r="M20" s="131">
        <f>AG14</f>
        <v>0.1074557206452805</v>
      </c>
      <c r="N20" s="131">
        <f>AG15</f>
        <v>0.1074557206452805</v>
      </c>
      <c r="O20" s="131">
        <f>AG16</f>
        <v>0.1074557206452805</v>
      </c>
      <c r="P20" s="131">
        <f>AG17</f>
        <v>1.4769210546563154E-2</v>
      </c>
      <c r="Q20" s="132">
        <f>AG18</f>
        <v>1.4769210546563154E-2</v>
      </c>
    </row>
    <row r="23" spans="1:36" ht="14.5" thickBot="1" x14ac:dyDescent="0.35"/>
    <row r="24" spans="1:36" x14ac:dyDescent="0.3">
      <c r="B24" s="113"/>
      <c r="C24" s="114" t="s">
        <v>47</v>
      </c>
      <c r="D24" s="114"/>
      <c r="E24" s="114" t="s">
        <v>48</v>
      </c>
      <c r="F24" s="114"/>
      <c r="G24" s="114" t="s">
        <v>49</v>
      </c>
      <c r="H24" s="114" t="s">
        <v>50</v>
      </c>
      <c r="I24" s="115" t="s">
        <v>51</v>
      </c>
    </row>
    <row r="25" spans="1:36" x14ac:dyDescent="0.3">
      <c r="B25" s="116">
        <v>1</v>
      </c>
      <c r="C25" s="3">
        <f>(30*(1-0.5249)+25*(1-0.6298))</f>
        <v>23.507999999999996</v>
      </c>
      <c r="D25" s="112"/>
      <c r="E25" s="121">
        <f>C25/$C$28</f>
        <v>0.21171130603937391</v>
      </c>
      <c r="F25" s="112"/>
      <c r="G25" s="112">
        <v>1.2</v>
      </c>
      <c r="H25" s="122">
        <f>E25/E26</f>
        <v>0.57958579881656802</v>
      </c>
      <c r="I25" s="117">
        <v>5</v>
      </c>
    </row>
    <row r="26" spans="1:36" x14ac:dyDescent="0.3">
      <c r="B26" s="116">
        <v>2</v>
      </c>
      <c r="C26" s="3">
        <f>(30*(1-0.324)+30*(1-0.324))</f>
        <v>40.559999999999995</v>
      </c>
      <c r="D26" s="112"/>
      <c r="E26" s="121">
        <f t="shared" ref="E26:E27" si="21">C26/$C$28</f>
        <v>0.36528035447324342</v>
      </c>
      <c r="F26" s="112"/>
      <c r="G26" s="112">
        <v>1.3</v>
      </c>
      <c r="H26" s="122">
        <f>E25/E27</f>
        <v>0.500489674260166</v>
      </c>
      <c r="I26" s="117">
        <v>7</v>
      </c>
    </row>
    <row r="27" spans="1:36" ht="14.5" thickBot="1" x14ac:dyDescent="0.35">
      <c r="B27" s="118">
        <v>3</v>
      </c>
      <c r="C27" s="18">
        <f>(30*(1-0.4364)+25*(1-0.4622)+30*(1-0.4461))</f>
        <v>46.97</v>
      </c>
      <c r="D27" s="119"/>
      <c r="E27" s="123">
        <f t="shared" si="21"/>
        <v>0.42300833948738276</v>
      </c>
      <c r="F27" s="119"/>
      <c r="G27" s="119">
        <v>2.2999999999999998</v>
      </c>
      <c r="H27" s="124">
        <f>E26/E27</f>
        <v>0.86352991271024049</v>
      </c>
      <c r="I27" s="120">
        <v>3</v>
      </c>
    </row>
    <row r="28" spans="1:36" x14ac:dyDescent="0.3">
      <c r="C28" s="111">
        <f>SUM(C25:C27)</f>
        <v>111.03799999999998</v>
      </c>
    </row>
  </sheetData>
  <mergeCells count="2">
    <mergeCell ref="B2:AG2"/>
    <mergeCell ref="R3:AF3"/>
  </mergeCells>
  <conditionalFormatting sqref="AP4">
    <cfRule type="cellIs" dxfId="9" priority="1" operator="greaterThan">
      <formula>0.1</formula>
    </cfRule>
    <cfRule type="cellIs" dxfId="8" priority="2" operator="lessThan">
      <formula>0.1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BC64-B257-4A23-94FD-C0E8A60073C5}">
  <dimension ref="A1:AP20"/>
  <sheetViews>
    <sheetView topLeftCell="Z1" zoomScale="81" zoomScaleNormal="85" workbookViewId="0">
      <selection activeCell="AI3" sqref="AI3:AP18"/>
    </sheetView>
  </sheetViews>
  <sheetFormatPr baseColWidth="10" defaultRowHeight="14" x14ac:dyDescent="0.3"/>
  <cols>
    <col min="1" max="1" width="10.90625" style="44"/>
    <col min="2" max="2" width="25.08984375" style="44" customWidth="1"/>
    <col min="3" max="11" width="10.6328125" style="44" customWidth="1"/>
    <col min="12" max="17" width="10.90625" style="44"/>
    <col min="18" max="32" width="7.81640625" style="44" customWidth="1"/>
    <col min="33" max="16384" width="10.90625" style="44"/>
  </cols>
  <sheetData>
    <row r="1" spans="1:42" ht="14.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2" ht="14.5" thickBot="1" x14ac:dyDescent="0.35">
      <c r="A2" s="1"/>
      <c r="B2" s="187" t="s">
        <v>17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9"/>
      <c r="AH2" s="1"/>
    </row>
    <row r="3" spans="1:42" s="47" customFormat="1" ht="42.5" thickBot="1" x14ac:dyDescent="0.35">
      <c r="A3" s="1"/>
      <c r="B3" s="12" t="s">
        <v>0</v>
      </c>
      <c r="C3" s="45" t="s">
        <v>22</v>
      </c>
      <c r="D3" s="45" t="s">
        <v>29</v>
      </c>
      <c r="E3" s="14" t="s">
        <v>18</v>
      </c>
      <c r="F3" s="46" t="s">
        <v>24</v>
      </c>
      <c r="G3" s="46" t="s">
        <v>31</v>
      </c>
      <c r="H3" s="45" t="s">
        <v>25</v>
      </c>
      <c r="I3" s="45" t="s">
        <v>27</v>
      </c>
      <c r="J3" s="46" t="s">
        <v>20</v>
      </c>
      <c r="K3" s="45" t="s">
        <v>19</v>
      </c>
      <c r="L3" s="46" t="s">
        <v>32</v>
      </c>
      <c r="M3" s="46" t="s">
        <v>26</v>
      </c>
      <c r="N3" s="45" t="s">
        <v>30</v>
      </c>
      <c r="O3" s="46" t="s">
        <v>28</v>
      </c>
      <c r="P3" s="46" t="s">
        <v>23</v>
      </c>
      <c r="Q3" s="45" t="s">
        <v>21</v>
      </c>
      <c r="R3" s="178" t="s">
        <v>8</v>
      </c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79"/>
      <c r="AG3" s="12" t="s">
        <v>12</v>
      </c>
      <c r="AH3" s="1"/>
      <c r="AI3" s="14" t="s">
        <v>43</v>
      </c>
      <c r="AJ3" s="12" t="s">
        <v>41</v>
      </c>
      <c r="AK3" s="12" t="s">
        <v>45</v>
      </c>
      <c r="AL3" s="12" t="s">
        <v>44</v>
      </c>
      <c r="AM3" s="12" t="s">
        <v>46</v>
      </c>
      <c r="AN3" s="1"/>
      <c r="AO3" s="12" t="s">
        <v>42</v>
      </c>
      <c r="AP3" s="39">
        <f>(AK4-AL4)/(AL4-1)</f>
        <v>0.12479938671548448</v>
      </c>
    </row>
    <row r="4" spans="1:42" ht="15" thickBot="1" x14ac:dyDescent="0.35">
      <c r="A4" s="1"/>
      <c r="B4" s="48" t="s">
        <v>22</v>
      </c>
      <c r="C4" s="69">
        <v>1</v>
      </c>
      <c r="D4" s="63">
        <v>1</v>
      </c>
      <c r="E4" s="63">
        <v>0.2</v>
      </c>
      <c r="F4" s="63">
        <v>1</v>
      </c>
      <c r="G4" s="63">
        <v>0.2</v>
      </c>
      <c r="H4" s="63">
        <v>0.2</v>
      </c>
      <c r="I4" s="63">
        <v>9</v>
      </c>
      <c r="J4" s="63">
        <v>9</v>
      </c>
      <c r="K4" s="63">
        <v>1</v>
      </c>
      <c r="L4" s="63">
        <v>1</v>
      </c>
      <c r="M4" s="63">
        <v>9</v>
      </c>
      <c r="N4" s="63">
        <v>0.2</v>
      </c>
      <c r="O4" s="63">
        <v>9</v>
      </c>
      <c r="P4" s="63">
        <v>7</v>
      </c>
      <c r="Q4" s="64">
        <v>7</v>
      </c>
      <c r="R4" s="36">
        <f>C4/C$19</f>
        <v>3.8864899313871291E-2</v>
      </c>
      <c r="S4" s="25">
        <f t="shared" ref="S4:AF4" si="0">D4/D$19</f>
        <v>3.8864899313871291E-2</v>
      </c>
      <c r="T4" s="25">
        <f t="shared" si="0"/>
        <v>3.5294121799308444E-2</v>
      </c>
      <c r="U4" s="25">
        <f t="shared" si="0"/>
        <v>3.8864899313871291E-2</v>
      </c>
      <c r="V4" s="25">
        <f t="shared" si="0"/>
        <v>3.5294121799308444E-2</v>
      </c>
      <c r="W4" s="25">
        <f t="shared" si="0"/>
        <v>3.5294121799308444E-2</v>
      </c>
      <c r="X4" s="25">
        <f t="shared" si="0"/>
        <v>0.10505836657632971</v>
      </c>
      <c r="Y4" s="25">
        <f t="shared" si="0"/>
        <v>0.10505836657632971</v>
      </c>
      <c r="Z4" s="25">
        <f t="shared" si="0"/>
        <v>3.8864899313871291E-2</v>
      </c>
      <c r="AA4" s="25">
        <f t="shared" si="0"/>
        <v>3.8864899313871291E-2</v>
      </c>
      <c r="AB4" s="25">
        <f t="shared" si="0"/>
        <v>9.4736842105263161E-2</v>
      </c>
      <c r="AC4" s="25">
        <f t="shared" si="0"/>
        <v>3.5294121799308444E-2</v>
      </c>
      <c r="AD4" s="25">
        <f t="shared" si="0"/>
        <v>9.4736842105263161E-2</v>
      </c>
      <c r="AE4" s="25">
        <f t="shared" si="0"/>
        <v>9.251101403093405E-2</v>
      </c>
      <c r="AF4" s="78">
        <f t="shared" si="0"/>
        <v>9.251101403093405E-2</v>
      </c>
      <c r="AG4" s="39">
        <f>AVERAGE(R4:AF4)</f>
        <v>6.134089527944294E-2</v>
      </c>
      <c r="AH4" s="1"/>
      <c r="AI4" s="107">
        <f>SUMPRODUCT(C4:Q4,$C$20:$Q$20)</f>
        <v>1.0554418202567193</v>
      </c>
      <c r="AJ4" s="108">
        <f>AI4/AG4</f>
        <v>17.206169154339481</v>
      </c>
      <c r="AK4" s="109">
        <f>AVERAGE(AJ4:AJ18)</f>
        <v>16.747191414016783</v>
      </c>
      <c r="AL4" s="109">
        <v>15</v>
      </c>
      <c r="AM4" s="108">
        <f>(1.86668*(15-2))/15</f>
        <v>1.6177893333333333</v>
      </c>
      <c r="AN4" s="35"/>
      <c r="AO4" s="103" t="s">
        <v>10</v>
      </c>
      <c r="AP4" s="34">
        <f>AP3/AM4</f>
        <v>7.7141927038389305E-2</v>
      </c>
    </row>
    <row r="5" spans="1:42" ht="15" thickBot="1" x14ac:dyDescent="0.35">
      <c r="A5" s="1"/>
      <c r="B5" s="48" t="s">
        <v>29</v>
      </c>
      <c r="C5" s="70">
        <v>1</v>
      </c>
      <c r="D5" s="65">
        <v>1</v>
      </c>
      <c r="E5" s="65">
        <v>0.2</v>
      </c>
      <c r="F5" s="65">
        <v>1</v>
      </c>
      <c r="G5" s="65">
        <v>0.2</v>
      </c>
      <c r="H5" s="65">
        <v>0.2</v>
      </c>
      <c r="I5" s="65">
        <v>9</v>
      </c>
      <c r="J5" s="65">
        <v>9</v>
      </c>
      <c r="K5" s="65">
        <v>1</v>
      </c>
      <c r="L5" s="65">
        <v>1</v>
      </c>
      <c r="M5" s="65">
        <v>9</v>
      </c>
      <c r="N5" s="65">
        <v>0.2</v>
      </c>
      <c r="O5" s="65">
        <v>9</v>
      </c>
      <c r="P5" s="65">
        <v>7</v>
      </c>
      <c r="Q5" s="66">
        <v>7</v>
      </c>
      <c r="R5" s="36">
        <f t="shared" ref="R5:R18" si="1">C5/C$19</f>
        <v>3.8864899313871291E-2</v>
      </c>
      <c r="S5" s="25">
        <f t="shared" ref="S5:S18" si="2">D5/D$19</f>
        <v>3.8864899313871291E-2</v>
      </c>
      <c r="T5" s="25">
        <f t="shared" ref="T5:T18" si="3">E5/E$19</f>
        <v>3.5294121799308444E-2</v>
      </c>
      <c r="U5" s="25">
        <f t="shared" ref="U5:U18" si="4">F5/F$19</f>
        <v>3.8864899313871291E-2</v>
      </c>
      <c r="V5" s="25">
        <f t="shared" ref="V5:V18" si="5">G5/G$19</f>
        <v>3.5294121799308444E-2</v>
      </c>
      <c r="W5" s="25">
        <f t="shared" ref="W5:W18" si="6">H5/H$19</f>
        <v>3.5294121799308444E-2</v>
      </c>
      <c r="X5" s="25">
        <f t="shared" ref="X5:X18" si="7">I5/I$19</f>
        <v>0.10505836657632971</v>
      </c>
      <c r="Y5" s="25">
        <f t="shared" ref="Y5:Y18" si="8">J5/J$19</f>
        <v>0.10505836657632971</v>
      </c>
      <c r="Z5" s="25">
        <f t="shared" ref="Z5:Z18" si="9">K5/K$19</f>
        <v>3.8864899313871291E-2</v>
      </c>
      <c r="AA5" s="25">
        <f t="shared" ref="AA5:AA18" si="10">L5/L$19</f>
        <v>3.8864899313871291E-2</v>
      </c>
      <c r="AB5" s="25">
        <f t="shared" ref="AB5:AB18" si="11">M5/M$19</f>
        <v>9.4736842105263161E-2</v>
      </c>
      <c r="AC5" s="25">
        <f t="shared" ref="AC5:AC18" si="12">N5/N$19</f>
        <v>3.5294121799308444E-2</v>
      </c>
      <c r="AD5" s="25">
        <f t="shared" ref="AD5:AD18" si="13">O5/O$19</f>
        <v>9.4736842105263161E-2</v>
      </c>
      <c r="AE5" s="25">
        <f t="shared" ref="AE5:AE18" si="14">P5/P$19</f>
        <v>9.251101403093405E-2</v>
      </c>
      <c r="AF5" s="78">
        <f t="shared" ref="AF5:AF18" si="15">Q5/Q$19</f>
        <v>9.251101403093405E-2</v>
      </c>
      <c r="AG5" s="39">
        <f t="shared" ref="AG5:AG18" si="16">AVERAGE(R5:AF5)</f>
        <v>6.134089527944294E-2</v>
      </c>
      <c r="AH5" s="1"/>
      <c r="AI5" s="107">
        <f t="shared" ref="AI5:AI18" si="17">SUMPRODUCT(C5:Q5,$C$20:$Q$20)</f>
        <v>1.0554418202567193</v>
      </c>
      <c r="AJ5" s="108">
        <f>AI5/AG5</f>
        <v>17.206169154339481</v>
      </c>
      <c r="AK5" s="35"/>
      <c r="AL5" s="35"/>
      <c r="AM5" s="35"/>
      <c r="AN5" s="35"/>
      <c r="AO5" s="35"/>
      <c r="AP5" s="35"/>
    </row>
    <row r="6" spans="1:42" ht="15" thickBot="1" x14ac:dyDescent="0.35">
      <c r="A6" s="1"/>
      <c r="B6" s="49" t="s">
        <v>18</v>
      </c>
      <c r="C6" s="70">
        <v>5</v>
      </c>
      <c r="D6" s="65">
        <v>5</v>
      </c>
      <c r="E6" s="65">
        <v>1</v>
      </c>
      <c r="F6" s="65">
        <v>5</v>
      </c>
      <c r="G6" s="65">
        <v>1</v>
      </c>
      <c r="H6" s="65">
        <v>1</v>
      </c>
      <c r="I6" s="65">
        <v>9</v>
      </c>
      <c r="J6" s="65">
        <v>9</v>
      </c>
      <c r="K6" s="65">
        <v>5</v>
      </c>
      <c r="L6" s="65">
        <v>5</v>
      </c>
      <c r="M6" s="65">
        <v>9</v>
      </c>
      <c r="N6" s="65">
        <v>1</v>
      </c>
      <c r="O6" s="65">
        <v>9</v>
      </c>
      <c r="P6" s="65">
        <v>9</v>
      </c>
      <c r="Q6" s="66">
        <v>9</v>
      </c>
      <c r="R6" s="36">
        <f t="shared" si="1"/>
        <v>0.19432449656935646</v>
      </c>
      <c r="S6" s="25">
        <f t="shared" si="2"/>
        <v>0.19432449656935646</v>
      </c>
      <c r="T6" s="25">
        <f t="shared" si="3"/>
        <v>0.17647060899654221</v>
      </c>
      <c r="U6" s="25">
        <f t="shared" si="4"/>
        <v>0.19432449656935646</v>
      </c>
      <c r="V6" s="25">
        <f t="shared" si="5"/>
        <v>0.17647060899654221</v>
      </c>
      <c r="W6" s="25">
        <f t="shared" si="6"/>
        <v>0.17647060899654221</v>
      </c>
      <c r="X6" s="25">
        <f t="shared" si="7"/>
        <v>0.10505836657632971</v>
      </c>
      <c r="Y6" s="25">
        <f t="shared" si="8"/>
        <v>0.10505836657632971</v>
      </c>
      <c r="Z6" s="25">
        <f t="shared" si="9"/>
        <v>0.19432449656935646</v>
      </c>
      <c r="AA6" s="25">
        <f t="shared" si="10"/>
        <v>0.19432449656935646</v>
      </c>
      <c r="AB6" s="25">
        <f t="shared" si="11"/>
        <v>9.4736842105263161E-2</v>
      </c>
      <c r="AC6" s="25">
        <f t="shared" si="12"/>
        <v>0.17647060899654221</v>
      </c>
      <c r="AD6" s="25">
        <f t="shared" si="13"/>
        <v>9.4736842105263161E-2</v>
      </c>
      <c r="AE6" s="25">
        <f t="shared" si="14"/>
        <v>0.11894273232548665</v>
      </c>
      <c r="AF6" s="78">
        <f t="shared" si="15"/>
        <v>0.11894273232548665</v>
      </c>
      <c r="AG6" s="39">
        <f t="shared" si="16"/>
        <v>0.15433205338980732</v>
      </c>
      <c r="AH6" s="1"/>
      <c r="AI6" s="107">
        <f t="shared" si="17"/>
        <v>2.8345563859373062</v>
      </c>
      <c r="AJ6" s="108">
        <f t="shared" ref="AJ6:AJ18" si="18">AI6/AG6</f>
        <v>18.366608385478212</v>
      </c>
      <c r="AK6" s="101"/>
      <c r="AL6" s="101"/>
      <c r="AM6" s="101"/>
      <c r="AN6" s="35"/>
      <c r="AO6" s="1"/>
      <c r="AP6" s="35"/>
    </row>
    <row r="7" spans="1:42" ht="15" thickBot="1" x14ac:dyDescent="0.35">
      <c r="A7" s="1"/>
      <c r="B7" s="50" t="s">
        <v>24</v>
      </c>
      <c r="C7" s="70">
        <v>1</v>
      </c>
      <c r="D7" s="65">
        <v>1</v>
      </c>
      <c r="E7" s="65">
        <v>0.2</v>
      </c>
      <c r="F7" s="65">
        <v>1</v>
      </c>
      <c r="G7" s="65">
        <v>0.2</v>
      </c>
      <c r="H7" s="65">
        <v>0.2</v>
      </c>
      <c r="I7" s="65">
        <v>9</v>
      </c>
      <c r="J7" s="65">
        <v>9</v>
      </c>
      <c r="K7" s="65">
        <v>1</v>
      </c>
      <c r="L7" s="65">
        <v>1</v>
      </c>
      <c r="M7" s="65">
        <v>9</v>
      </c>
      <c r="N7" s="65">
        <v>0.2</v>
      </c>
      <c r="O7" s="65">
        <v>9</v>
      </c>
      <c r="P7" s="65">
        <v>7</v>
      </c>
      <c r="Q7" s="66">
        <v>7</v>
      </c>
      <c r="R7" s="36">
        <f t="shared" si="1"/>
        <v>3.8864899313871291E-2</v>
      </c>
      <c r="S7" s="25">
        <f t="shared" si="2"/>
        <v>3.8864899313871291E-2</v>
      </c>
      <c r="T7" s="25">
        <f t="shared" si="3"/>
        <v>3.5294121799308444E-2</v>
      </c>
      <c r="U7" s="25">
        <f t="shared" si="4"/>
        <v>3.8864899313871291E-2</v>
      </c>
      <c r="V7" s="25">
        <f t="shared" si="5"/>
        <v>3.5294121799308444E-2</v>
      </c>
      <c r="W7" s="25">
        <f t="shared" si="6"/>
        <v>3.5294121799308444E-2</v>
      </c>
      <c r="X7" s="25">
        <f t="shared" si="7"/>
        <v>0.10505836657632971</v>
      </c>
      <c r="Y7" s="25">
        <f t="shared" si="8"/>
        <v>0.10505836657632971</v>
      </c>
      <c r="Z7" s="25">
        <f t="shared" si="9"/>
        <v>3.8864899313871291E-2</v>
      </c>
      <c r="AA7" s="25">
        <f t="shared" si="10"/>
        <v>3.8864899313871291E-2</v>
      </c>
      <c r="AB7" s="25">
        <f t="shared" si="11"/>
        <v>9.4736842105263161E-2</v>
      </c>
      <c r="AC7" s="25">
        <f t="shared" si="12"/>
        <v>3.5294121799308444E-2</v>
      </c>
      <c r="AD7" s="25">
        <f t="shared" si="13"/>
        <v>9.4736842105263161E-2</v>
      </c>
      <c r="AE7" s="25">
        <f t="shared" si="14"/>
        <v>9.251101403093405E-2</v>
      </c>
      <c r="AF7" s="78">
        <f t="shared" si="15"/>
        <v>9.251101403093405E-2</v>
      </c>
      <c r="AG7" s="39">
        <f t="shared" si="16"/>
        <v>6.134089527944294E-2</v>
      </c>
      <c r="AH7" s="1"/>
      <c r="AI7" s="107">
        <f t="shared" si="17"/>
        <v>1.0554418202567193</v>
      </c>
      <c r="AJ7" s="108">
        <f t="shared" si="18"/>
        <v>17.206169154339481</v>
      </c>
      <c r="AK7" s="101"/>
      <c r="AL7" s="101"/>
      <c r="AM7" s="101"/>
      <c r="AN7" s="1"/>
      <c r="AO7" s="1"/>
      <c r="AP7" s="35"/>
    </row>
    <row r="8" spans="1:42" ht="15" thickBot="1" x14ac:dyDescent="0.35">
      <c r="A8" s="1"/>
      <c r="B8" s="50" t="s">
        <v>31</v>
      </c>
      <c r="C8" s="70">
        <v>5</v>
      </c>
      <c r="D8" s="65">
        <v>5</v>
      </c>
      <c r="E8" s="65">
        <v>1</v>
      </c>
      <c r="F8" s="65">
        <v>5</v>
      </c>
      <c r="G8" s="65">
        <v>1</v>
      </c>
      <c r="H8" s="65">
        <v>1</v>
      </c>
      <c r="I8" s="65">
        <v>9</v>
      </c>
      <c r="J8" s="65">
        <v>9</v>
      </c>
      <c r="K8" s="65">
        <v>5</v>
      </c>
      <c r="L8" s="65">
        <v>5</v>
      </c>
      <c r="M8" s="65">
        <v>9</v>
      </c>
      <c r="N8" s="65">
        <v>1</v>
      </c>
      <c r="O8" s="65">
        <v>9</v>
      </c>
      <c r="P8" s="65">
        <v>9</v>
      </c>
      <c r="Q8" s="66">
        <v>9</v>
      </c>
      <c r="R8" s="36">
        <f t="shared" si="1"/>
        <v>0.19432449656935646</v>
      </c>
      <c r="S8" s="25">
        <f t="shared" si="2"/>
        <v>0.19432449656935646</v>
      </c>
      <c r="T8" s="25">
        <f t="shared" si="3"/>
        <v>0.17647060899654221</v>
      </c>
      <c r="U8" s="25">
        <f t="shared" si="4"/>
        <v>0.19432449656935646</v>
      </c>
      <c r="V8" s="25">
        <f t="shared" si="5"/>
        <v>0.17647060899654221</v>
      </c>
      <c r="W8" s="25">
        <f t="shared" si="6"/>
        <v>0.17647060899654221</v>
      </c>
      <c r="X8" s="25">
        <f t="shared" si="7"/>
        <v>0.10505836657632971</v>
      </c>
      <c r="Y8" s="25">
        <f t="shared" si="8"/>
        <v>0.10505836657632971</v>
      </c>
      <c r="Z8" s="25">
        <f t="shared" si="9"/>
        <v>0.19432449656935646</v>
      </c>
      <c r="AA8" s="25">
        <f t="shared" si="10"/>
        <v>0.19432449656935646</v>
      </c>
      <c r="AB8" s="25">
        <f t="shared" si="11"/>
        <v>9.4736842105263161E-2</v>
      </c>
      <c r="AC8" s="25">
        <f t="shared" si="12"/>
        <v>0.17647060899654221</v>
      </c>
      <c r="AD8" s="25">
        <f t="shared" si="13"/>
        <v>9.4736842105263161E-2</v>
      </c>
      <c r="AE8" s="25">
        <f t="shared" si="14"/>
        <v>0.11894273232548665</v>
      </c>
      <c r="AF8" s="78">
        <f t="shared" si="15"/>
        <v>0.11894273232548665</v>
      </c>
      <c r="AG8" s="39">
        <f t="shared" si="16"/>
        <v>0.15433205338980732</v>
      </c>
      <c r="AH8" s="1"/>
      <c r="AI8" s="107">
        <f t="shared" si="17"/>
        <v>2.8345563859373062</v>
      </c>
      <c r="AJ8" s="108">
        <f t="shared" si="18"/>
        <v>18.366608385478212</v>
      </c>
      <c r="AK8" s="101"/>
      <c r="AL8" s="101"/>
      <c r="AM8" s="101"/>
      <c r="AN8" s="1"/>
      <c r="AO8" s="35"/>
      <c r="AP8" s="35"/>
    </row>
    <row r="9" spans="1:42" ht="15" thickBot="1" x14ac:dyDescent="0.35">
      <c r="A9" s="1"/>
      <c r="B9" s="48" t="s">
        <v>25</v>
      </c>
      <c r="C9" s="70">
        <v>5</v>
      </c>
      <c r="D9" s="65">
        <v>5</v>
      </c>
      <c r="E9" s="65">
        <v>1</v>
      </c>
      <c r="F9" s="65">
        <v>5</v>
      </c>
      <c r="G9" s="65">
        <v>1</v>
      </c>
      <c r="H9" s="65">
        <v>1</v>
      </c>
      <c r="I9" s="65">
        <v>9</v>
      </c>
      <c r="J9" s="65">
        <v>9</v>
      </c>
      <c r="K9" s="65">
        <v>5</v>
      </c>
      <c r="L9" s="65">
        <v>5</v>
      </c>
      <c r="M9" s="65">
        <v>9</v>
      </c>
      <c r="N9" s="65">
        <v>1</v>
      </c>
      <c r="O9" s="65">
        <v>9</v>
      </c>
      <c r="P9" s="65">
        <v>9</v>
      </c>
      <c r="Q9" s="66">
        <v>9</v>
      </c>
      <c r="R9" s="36">
        <f t="shared" si="1"/>
        <v>0.19432449656935646</v>
      </c>
      <c r="S9" s="25">
        <f t="shared" si="2"/>
        <v>0.19432449656935646</v>
      </c>
      <c r="T9" s="25">
        <f t="shared" si="3"/>
        <v>0.17647060899654221</v>
      </c>
      <c r="U9" s="25">
        <f t="shared" si="4"/>
        <v>0.19432449656935646</v>
      </c>
      <c r="V9" s="25">
        <f t="shared" si="5"/>
        <v>0.17647060899654221</v>
      </c>
      <c r="W9" s="25">
        <f t="shared" si="6"/>
        <v>0.17647060899654221</v>
      </c>
      <c r="X9" s="25">
        <f t="shared" si="7"/>
        <v>0.10505836657632971</v>
      </c>
      <c r="Y9" s="25">
        <f t="shared" si="8"/>
        <v>0.10505836657632971</v>
      </c>
      <c r="Z9" s="25">
        <f t="shared" si="9"/>
        <v>0.19432449656935646</v>
      </c>
      <c r="AA9" s="25">
        <f t="shared" si="10"/>
        <v>0.19432449656935646</v>
      </c>
      <c r="AB9" s="25">
        <f t="shared" si="11"/>
        <v>9.4736842105263161E-2</v>
      </c>
      <c r="AC9" s="25">
        <f t="shared" si="12"/>
        <v>0.17647060899654221</v>
      </c>
      <c r="AD9" s="25">
        <f t="shared" si="13"/>
        <v>9.4736842105263161E-2</v>
      </c>
      <c r="AE9" s="25">
        <f t="shared" si="14"/>
        <v>0.11894273232548665</v>
      </c>
      <c r="AF9" s="78">
        <f t="shared" si="15"/>
        <v>0.11894273232548665</v>
      </c>
      <c r="AG9" s="39">
        <f t="shared" si="16"/>
        <v>0.15433205338980732</v>
      </c>
      <c r="AH9" s="1"/>
      <c r="AI9" s="107">
        <f t="shared" si="17"/>
        <v>2.8345563859373062</v>
      </c>
      <c r="AJ9" s="108">
        <f t="shared" si="18"/>
        <v>18.366608385478212</v>
      </c>
    </row>
    <row r="10" spans="1:42" ht="15" thickBot="1" x14ac:dyDescent="0.35">
      <c r="A10" s="1"/>
      <c r="B10" s="48" t="s">
        <v>27</v>
      </c>
      <c r="C10" s="70">
        <v>0.111111</v>
      </c>
      <c r="D10" s="65">
        <v>0.111111</v>
      </c>
      <c r="E10" s="65">
        <v>0.111111</v>
      </c>
      <c r="F10" s="65">
        <v>0.111111</v>
      </c>
      <c r="G10" s="65">
        <v>0.111111</v>
      </c>
      <c r="H10" s="65">
        <v>0.111111</v>
      </c>
      <c r="I10" s="65">
        <v>1</v>
      </c>
      <c r="J10" s="65">
        <v>1</v>
      </c>
      <c r="K10" s="65">
        <v>0.111111</v>
      </c>
      <c r="L10" s="65">
        <v>0.111111</v>
      </c>
      <c r="M10" s="65">
        <v>3</v>
      </c>
      <c r="N10" s="65">
        <v>0.111111</v>
      </c>
      <c r="O10" s="65">
        <v>3</v>
      </c>
      <c r="P10" s="65">
        <v>1</v>
      </c>
      <c r="Q10" s="66">
        <v>1</v>
      </c>
      <c r="R10" s="36">
        <f t="shared" si="1"/>
        <v>4.3183178276635526E-3</v>
      </c>
      <c r="S10" s="25">
        <f t="shared" si="2"/>
        <v>4.3183178276635526E-3</v>
      </c>
      <c r="T10" s="25">
        <f t="shared" si="3"/>
        <v>1.9607825836214801E-2</v>
      </c>
      <c r="U10" s="25">
        <f t="shared" si="4"/>
        <v>4.3183178276635526E-3</v>
      </c>
      <c r="V10" s="25">
        <f t="shared" si="5"/>
        <v>1.9607825836214801E-2</v>
      </c>
      <c r="W10" s="25">
        <f t="shared" si="6"/>
        <v>1.9607825836214801E-2</v>
      </c>
      <c r="X10" s="25">
        <f t="shared" si="7"/>
        <v>1.1673151841814413E-2</v>
      </c>
      <c r="Y10" s="25">
        <f t="shared" si="8"/>
        <v>1.1673151841814413E-2</v>
      </c>
      <c r="Z10" s="25">
        <f t="shared" si="9"/>
        <v>4.3183178276635526E-3</v>
      </c>
      <c r="AA10" s="25">
        <f t="shared" si="10"/>
        <v>4.3183178276635526E-3</v>
      </c>
      <c r="AB10" s="25">
        <f t="shared" si="11"/>
        <v>3.1578947368421054E-2</v>
      </c>
      <c r="AC10" s="25">
        <f t="shared" si="12"/>
        <v>1.9607825836214801E-2</v>
      </c>
      <c r="AD10" s="25">
        <f t="shared" si="13"/>
        <v>3.1578947368421054E-2</v>
      </c>
      <c r="AE10" s="25">
        <f t="shared" si="14"/>
        <v>1.3215859147276294E-2</v>
      </c>
      <c r="AF10" s="78">
        <f t="shared" si="15"/>
        <v>1.3215859147276294E-2</v>
      </c>
      <c r="AG10" s="39">
        <f t="shared" si="16"/>
        <v>1.4197253946546699E-2</v>
      </c>
      <c r="AH10" s="1"/>
      <c r="AI10" s="107">
        <f t="shared" si="17"/>
        <v>0.215349021313887</v>
      </c>
      <c r="AJ10" s="108">
        <f t="shared" si="18"/>
        <v>15.168357354505721</v>
      </c>
    </row>
    <row r="11" spans="1:42" ht="15" thickBot="1" x14ac:dyDescent="0.35">
      <c r="A11" s="1"/>
      <c r="B11" s="50" t="s">
        <v>20</v>
      </c>
      <c r="C11" s="70">
        <v>0.111111</v>
      </c>
      <c r="D11" s="65">
        <v>0.111111</v>
      </c>
      <c r="E11" s="65">
        <v>0.111111</v>
      </c>
      <c r="F11" s="65">
        <v>0.111111</v>
      </c>
      <c r="G11" s="65">
        <v>0.111111</v>
      </c>
      <c r="H11" s="65">
        <v>0.111111</v>
      </c>
      <c r="I11" s="65">
        <v>1</v>
      </c>
      <c r="J11" s="65">
        <v>1</v>
      </c>
      <c r="K11" s="65">
        <v>0.111111</v>
      </c>
      <c r="L11" s="65">
        <v>0.111111</v>
      </c>
      <c r="M11" s="65">
        <v>3</v>
      </c>
      <c r="N11" s="65">
        <v>0.111111</v>
      </c>
      <c r="O11" s="65">
        <v>3</v>
      </c>
      <c r="P11" s="65">
        <v>1</v>
      </c>
      <c r="Q11" s="66">
        <v>1</v>
      </c>
      <c r="R11" s="36">
        <f t="shared" si="1"/>
        <v>4.3183178276635526E-3</v>
      </c>
      <c r="S11" s="25">
        <f t="shared" si="2"/>
        <v>4.3183178276635526E-3</v>
      </c>
      <c r="T11" s="25">
        <f t="shared" si="3"/>
        <v>1.9607825836214801E-2</v>
      </c>
      <c r="U11" s="25">
        <f t="shared" si="4"/>
        <v>4.3183178276635526E-3</v>
      </c>
      <c r="V11" s="25">
        <f t="shared" si="5"/>
        <v>1.9607825836214801E-2</v>
      </c>
      <c r="W11" s="25">
        <f t="shared" si="6"/>
        <v>1.9607825836214801E-2</v>
      </c>
      <c r="X11" s="25">
        <f t="shared" si="7"/>
        <v>1.1673151841814413E-2</v>
      </c>
      <c r="Y11" s="25">
        <f t="shared" si="8"/>
        <v>1.1673151841814413E-2</v>
      </c>
      <c r="Z11" s="25">
        <f t="shared" si="9"/>
        <v>4.3183178276635526E-3</v>
      </c>
      <c r="AA11" s="25">
        <f t="shared" si="10"/>
        <v>4.3183178276635526E-3</v>
      </c>
      <c r="AB11" s="25">
        <f t="shared" si="11"/>
        <v>3.1578947368421054E-2</v>
      </c>
      <c r="AC11" s="25">
        <f t="shared" si="12"/>
        <v>1.9607825836214801E-2</v>
      </c>
      <c r="AD11" s="25">
        <f t="shared" si="13"/>
        <v>3.1578947368421054E-2</v>
      </c>
      <c r="AE11" s="25">
        <f t="shared" si="14"/>
        <v>1.3215859147276294E-2</v>
      </c>
      <c r="AF11" s="78">
        <f t="shared" si="15"/>
        <v>1.3215859147276294E-2</v>
      </c>
      <c r="AG11" s="39">
        <f t="shared" si="16"/>
        <v>1.4197253946546699E-2</v>
      </c>
      <c r="AH11" s="1"/>
      <c r="AI11" s="107">
        <f t="shared" si="17"/>
        <v>0.215349021313887</v>
      </c>
      <c r="AJ11" s="108">
        <f t="shared" si="18"/>
        <v>15.168357354505721</v>
      </c>
    </row>
    <row r="12" spans="1:42" ht="15" thickBot="1" x14ac:dyDescent="0.35">
      <c r="A12" s="1"/>
      <c r="B12" s="48" t="s">
        <v>19</v>
      </c>
      <c r="C12" s="70">
        <v>1</v>
      </c>
      <c r="D12" s="65">
        <v>1</v>
      </c>
      <c r="E12" s="65">
        <v>0.2</v>
      </c>
      <c r="F12" s="65">
        <v>1</v>
      </c>
      <c r="G12" s="65">
        <v>0.2</v>
      </c>
      <c r="H12" s="65">
        <v>0.2</v>
      </c>
      <c r="I12" s="65">
        <v>9</v>
      </c>
      <c r="J12" s="65">
        <v>9</v>
      </c>
      <c r="K12" s="65">
        <v>1</v>
      </c>
      <c r="L12" s="65">
        <v>1</v>
      </c>
      <c r="M12" s="65">
        <v>9</v>
      </c>
      <c r="N12" s="65">
        <v>0.2</v>
      </c>
      <c r="O12" s="65">
        <v>9</v>
      </c>
      <c r="P12" s="65">
        <v>7</v>
      </c>
      <c r="Q12" s="66">
        <v>7</v>
      </c>
      <c r="R12" s="36">
        <f t="shared" si="1"/>
        <v>3.8864899313871291E-2</v>
      </c>
      <c r="S12" s="25">
        <f t="shared" si="2"/>
        <v>3.8864899313871291E-2</v>
      </c>
      <c r="T12" s="25">
        <f t="shared" si="3"/>
        <v>3.5294121799308444E-2</v>
      </c>
      <c r="U12" s="25">
        <f t="shared" si="4"/>
        <v>3.8864899313871291E-2</v>
      </c>
      <c r="V12" s="25">
        <f t="shared" si="5"/>
        <v>3.5294121799308444E-2</v>
      </c>
      <c r="W12" s="25">
        <f t="shared" si="6"/>
        <v>3.5294121799308444E-2</v>
      </c>
      <c r="X12" s="25">
        <f t="shared" si="7"/>
        <v>0.10505836657632971</v>
      </c>
      <c r="Y12" s="25">
        <f t="shared" si="8"/>
        <v>0.10505836657632971</v>
      </c>
      <c r="Z12" s="25">
        <f t="shared" si="9"/>
        <v>3.8864899313871291E-2</v>
      </c>
      <c r="AA12" s="25">
        <f t="shared" si="10"/>
        <v>3.8864899313871291E-2</v>
      </c>
      <c r="AB12" s="25">
        <f t="shared" si="11"/>
        <v>9.4736842105263161E-2</v>
      </c>
      <c r="AC12" s="25">
        <f t="shared" si="12"/>
        <v>3.5294121799308444E-2</v>
      </c>
      <c r="AD12" s="25">
        <f t="shared" si="13"/>
        <v>9.4736842105263161E-2</v>
      </c>
      <c r="AE12" s="25">
        <f t="shared" si="14"/>
        <v>9.251101403093405E-2</v>
      </c>
      <c r="AF12" s="78">
        <f t="shared" si="15"/>
        <v>9.251101403093405E-2</v>
      </c>
      <c r="AG12" s="39">
        <f t="shared" si="16"/>
        <v>6.134089527944294E-2</v>
      </c>
      <c r="AH12" s="1"/>
      <c r="AI12" s="107">
        <f t="shared" si="17"/>
        <v>1.0554418202567193</v>
      </c>
      <c r="AJ12" s="108">
        <f t="shared" si="18"/>
        <v>17.206169154339481</v>
      </c>
    </row>
    <row r="13" spans="1:42" ht="15" thickBot="1" x14ac:dyDescent="0.35">
      <c r="A13" s="1"/>
      <c r="B13" s="50" t="s">
        <v>32</v>
      </c>
      <c r="C13" s="70">
        <v>1</v>
      </c>
      <c r="D13" s="65">
        <v>1</v>
      </c>
      <c r="E13" s="65">
        <v>0.2</v>
      </c>
      <c r="F13" s="65">
        <v>1</v>
      </c>
      <c r="G13" s="65">
        <v>0.2</v>
      </c>
      <c r="H13" s="65">
        <v>0.2</v>
      </c>
      <c r="I13" s="65">
        <v>9</v>
      </c>
      <c r="J13" s="65">
        <v>9</v>
      </c>
      <c r="K13" s="65">
        <v>1</v>
      </c>
      <c r="L13" s="65">
        <v>1</v>
      </c>
      <c r="M13" s="65">
        <v>9</v>
      </c>
      <c r="N13" s="65">
        <v>0.2</v>
      </c>
      <c r="O13" s="65">
        <v>9</v>
      </c>
      <c r="P13" s="65">
        <v>7</v>
      </c>
      <c r="Q13" s="66">
        <v>7</v>
      </c>
      <c r="R13" s="36">
        <f t="shared" si="1"/>
        <v>3.8864899313871291E-2</v>
      </c>
      <c r="S13" s="25">
        <f t="shared" si="2"/>
        <v>3.8864899313871291E-2</v>
      </c>
      <c r="T13" s="25">
        <f t="shared" si="3"/>
        <v>3.5294121799308444E-2</v>
      </c>
      <c r="U13" s="25">
        <f t="shared" si="4"/>
        <v>3.8864899313871291E-2</v>
      </c>
      <c r="V13" s="25">
        <f t="shared" si="5"/>
        <v>3.5294121799308444E-2</v>
      </c>
      <c r="W13" s="25">
        <f t="shared" si="6"/>
        <v>3.5294121799308444E-2</v>
      </c>
      <c r="X13" s="25">
        <f t="shared" si="7"/>
        <v>0.10505836657632971</v>
      </c>
      <c r="Y13" s="25">
        <f t="shared" si="8"/>
        <v>0.10505836657632971</v>
      </c>
      <c r="Z13" s="25">
        <f t="shared" si="9"/>
        <v>3.8864899313871291E-2</v>
      </c>
      <c r="AA13" s="25">
        <f t="shared" si="10"/>
        <v>3.8864899313871291E-2</v>
      </c>
      <c r="AB13" s="25">
        <f t="shared" si="11"/>
        <v>9.4736842105263161E-2</v>
      </c>
      <c r="AC13" s="25">
        <f t="shared" si="12"/>
        <v>3.5294121799308444E-2</v>
      </c>
      <c r="AD13" s="25">
        <f t="shared" si="13"/>
        <v>9.4736842105263161E-2</v>
      </c>
      <c r="AE13" s="25">
        <f t="shared" si="14"/>
        <v>9.251101403093405E-2</v>
      </c>
      <c r="AF13" s="78">
        <f t="shared" si="15"/>
        <v>9.251101403093405E-2</v>
      </c>
      <c r="AG13" s="39">
        <f t="shared" si="16"/>
        <v>6.134089527944294E-2</v>
      </c>
      <c r="AH13" s="1"/>
      <c r="AI13" s="107">
        <f t="shared" si="17"/>
        <v>1.0554418202567193</v>
      </c>
      <c r="AJ13" s="108">
        <f t="shared" si="18"/>
        <v>17.206169154339481</v>
      </c>
    </row>
    <row r="14" spans="1:42" ht="15" thickBot="1" x14ac:dyDescent="0.35">
      <c r="A14" s="1"/>
      <c r="B14" s="50" t="s">
        <v>26</v>
      </c>
      <c r="C14" s="70">
        <v>0.111111</v>
      </c>
      <c r="D14" s="65">
        <v>0.111111</v>
      </c>
      <c r="E14" s="65">
        <v>0.111111</v>
      </c>
      <c r="F14" s="65">
        <v>0.111111</v>
      </c>
      <c r="G14" s="65">
        <v>0.111111</v>
      </c>
      <c r="H14" s="65">
        <v>0.111111</v>
      </c>
      <c r="I14" s="65">
        <v>0.33333299999999999</v>
      </c>
      <c r="J14" s="65">
        <v>0.33333299999999999</v>
      </c>
      <c r="K14" s="65">
        <v>0.111111</v>
      </c>
      <c r="L14" s="65">
        <v>0.111111</v>
      </c>
      <c r="M14" s="65">
        <v>1</v>
      </c>
      <c r="N14" s="65">
        <v>0.111111</v>
      </c>
      <c r="O14" s="65">
        <v>1</v>
      </c>
      <c r="P14" s="65">
        <v>0.33333299999999999</v>
      </c>
      <c r="Q14" s="66">
        <v>0.33333299999999999</v>
      </c>
      <c r="R14" s="36">
        <f t="shared" si="1"/>
        <v>4.3183178276635526E-3</v>
      </c>
      <c r="S14" s="25">
        <f t="shared" si="2"/>
        <v>4.3183178276635526E-3</v>
      </c>
      <c r="T14" s="25">
        <f t="shared" si="3"/>
        <v>1.9607825836214801E-2</v>
      </c>
      <c r="U14" s="25">
        <f t="shared" si="4"/>
        <v>4.3183178276635526E-3</v>
      </c>
      <c r="V14" s="25">
        <f t="shared" si="5"/>
        <v>1.9607825836214801E-2</v>
      </c>
      <c r="W14" s="25">
        <f t="shared" si="6"/>
        <v>1.9607825836214801E-2</v>
      </c>
      <c r="X14" s="25">
        <f t="shared" si="7"/>
        <v>3.8910467228875233E-3</v>
      </c>
      <c r="Y14" s="25">
        <f t="shared" si="8"/>
        <v>3.8910467228875233E-3</v>
      </c>
      <c r="Z14" s="25">
        <f t="shared" si="9"/>
        <v>4.3183178276635526E-3</v>
      </c>
      <c r="AA14" s="25">
        <f t="shared" si="10"/>
        <v>4.3183178276635526E-3</v>
      </c>
      <c r="AB14" s="25">
        <f t="shared" si="11"/>
        <v>1.0526315789473684E-2</v>
      </c>
      <c r="AC14" s="25">
        <f t="shared" si="12"/>
        <v>1.9607825836214801E-2</v>
      </c>
      <c r="AD14" s="25">
        <f t="shared" si="13"/>
        <v>1.0526315789473684E-2</v>
      </c>
      <c r="AE14" s="25">
        <f t="shared" si="14"/>
        <v>4.405281977139049E-3</v>
      </c>
      <c r="AF14" s="78">
        <f t="shared" si="15"/>
        <v>4.405281977139049E-3</v>
      </c>
      <c r="AG14" s="39">
        <f t="shared" si="16"/>
        <v>9.1778787641451642E-3</v>
      </c>
      <c r="AH14" s="1"/>
      <c r="AI14" s="107">
        <f t="shared" si="17"/>
        <v>0.14022978537661179</v>
      </c>
      <c r="AJ14" s="108">
        <f t="shared" si="18"/>
        <v>15.27910631424351</v>
      </c>
    </row>
    <row r="15" spans="1:42" ht="15" thickBot="1" x14ac:dyDescent="0.35">
      <c r="A15" s="1"/>
      <c r="B15" s="48" t="s">
        <v>30</v>
      </c>
      <c r="C15" s="70">
        <v>5</v>
      </c>
      <c r="D15" s="65">
        <v>5</v>
      </c>
      <c r="E15" s="65">
        <v>1</v>
      </c>
      <c r="F15" s="65">
        <v>5</v>
      </c>
      <c r="G15" s="65">
        <v>1</v>
      </c>
      <c r="H15" s="65">
        <v>1</v>
      </c>
      <c r="I15" s="65">
        <v>9</v>
      </c>
      <c r="J15" s="65">
        <v>9</v>
      </c>
      <c r="K15" s="65">
        <v>5</v>
      </c>
      <c r="L15" s="65">
        <v>5</v>
      </c>
      <c r="M15" s="65">
        <v>9</v>
      </c>
      <c r="N15" s="65">
        <v>1</v>
      </c>
      <c r="O15" s="65">
        <v>9</v>
      </c>
      <c r="P15" s="65">
        <v>9</v>
      </c>
      <c r="Q15" s="66">
        <v>9</v>
      </c>
      <c r="R15" s="36">
        <f t="shared" si="1"/>
        <v>0.19432449656935646</v>
      </c>
      <c r="S15" s="25">
        <f t="shared" si="2"/>
        <v>0.19432449656935646</v>
      </c>
      <c r="T15" s="25">
        <f t="shared" si="3"/>
        <v>0.17647060899654221</v>
      </c>
      <c r="U15" s="25">
        <f t="shared" si="4"/>
        <v>0.19432449656935646</v>
      </c>
      <c r="V15" s="25">
        <f t="shared" si="5"/>
        <v>0.17647060899654221</v>
      </c>
      <c r="W15" s="25">
        <f t="shared" si="6"/>
        <v>0.17647060899654221</v>
      </c>
      <c r="X15" s="25">
        <f t="shared" si="7"/>
        <v>0.10505836657632971</v>
      </c>
      <c r="Y15" s="25">
        <f t="shared" si="8"/>
        <v>0.10505836657632971</v>
      </c>
      <c r="Z15" s="25">
        <f t="shared" si="9"/>
        <v>0.19432449656935646</v>
      </c>
      <c r="AA15" s="25">
        <f t="shared" si="10"/>
        <v>0.19432449656935646</v>
      </c>
      <c r="AB15" s="25">
        <f t="shared" si="11"/>
        <v>9.4736842105263161E-2</v>
      </c>
      <c r="AC15" s="25">
        <f t="shared" si="12"/>
        <v>0.17647060899654221</v>
      </c>
      <c r="AD15" s="25">
        <f t="shared" si="13"/>
        <v>9.4736842105263161E-2</v>
      </c>
      <c r="AE15" s="25">
        <f t="shared" si="14"/>
        <v>0.11894273232548665</v>
      </c>
      <c r="AF15" s="78">
        <f t="shared" si="15"/>
        <v>0.11894273232548665</v>
      </c>
      <c r="AG15" s="39">
        <f t="shared" si="16"/>
        <v>0.15433205338980732</v>
      </c>
      <c r="AH15" s="1"/>
      <c r="AI15" s="107">
        <f t="shared" si="17"/>
        <v>2.8345563859373062</v>
      </c>
      <c r="AJ15" s="108">
        <f t="shared" si="18"/>
        <v>18.366608385478212</v>
      </c>
    </row>
    <row r="16" spans="1:42" ht="15" thickBot="1" x14ac:dyDescent="0.35">
      <c r="A16" s="1"/>
      <c r="B16" s="50" t="s">
        <v>28</v>
      </c>
      <c r="C16" s="70">
        <v>0.111111</v>
      </c>
      <c r="D16" s="65">
        <v>0.111111</v>
      </c>
      <c r="E16" s="65">
        <v>0.111111</v>
      </c>
      <c r="F16" s="65">
        <v>0.111111</v>
      </c>
      <c r="G16" s="65">
        <v>0.111111</v>
      </c>
      <c r="H16" s="65">
        <v>0.111111</v>
      </c>
      <c r="I16" s="65">
        <v>0.33333299999999999</v>
      </c>
      <c r="J16" s="65">
        <v>0.33333299999999999</v>
      </c>
      <c r="K16" s="65">
        <v>0.111111</v>
      </c>
      <c r="L16" s="65">
        <v>0.111111</v>
      </c>
      <c r="M16" s="65">
        <v>1</v>
      </c>
      <c r="N16" s="65">
        <v>0.111111</v>
      </c>
      <c r="O16" s="65">
        <v>1</v>
      </c>
      <c r="P16" s="65">
        <v>0.33333299999999999</v>
      </c>
      <c r="Q16" s="66">
        <v>0.33333299999999999</v>
      </c>
      <c r="R16" s="36">
        <f t="shared" si="1"/>
        <v>4.3183178276635526E-3</v>
      </c>
      <c r="S16" s="25">
        <f t="shared" si="2"/>
        <v>4.3183178276635526E-3</v>
      </c>
      <c r="T16" s="25">
        <f t="shared" si="3"/>
        <v>1.9607825836214801E-2</v>
      </c>
      <c r="U16" s="25">
        <f t="shared" si="4"/>
        <v>4.3183178276635526E-3</v>
      </c>
      <c r="V16" s="25">
        <f t="shared" si="5"/>
        <v>1.9607825836214801E-2</v>
      </c>
      <c r="W16" s="25">
        <f t="shared" si="6"/>
        <v>1.9607825836214801E-2</v>
      </c>
      <c r="X16" s="25">
        <f t="shared" si="7"/>
        <v>3.8910467228875233E-3</v>
      </c>
      <c r="Y16" s="25">
        <f t="shared" si="8"/>
        <v>3.8910467228875233E-3</v>
      </c>
      <c r="Z16" s="25">
        <f t="shared" si="9"/>
        <v>4.3183178276635526E-3</v>
      </c>
      <c r="AA16" s="25">
        <f t="shared" si="10"/>
        <v>4.3183178276635526E-3</v>
      </c>
      <c r="AB16" s="25">
        <f t="shared" si="11"/>
        <v>1.0526315789473684E-2</v>
      </c>
      <c r="AC16" s="25">
        <f t="shared" si="12"/>
        <v>1.9607825836214801E-2</v>
      </c>
      <c r="AD16" s="25">
        <f t="shared" si="13"/>
        <v>1.0526315789473684E-2</v>
      </c>
      <c r="AE16" s="25">
        <f t="shared" si="14"/>
        <v>4.405281977139049E-3</v>
      </c>
      <c r="AF16" s="78">
        <f t="shared" si="15"/>
        <v>4.405281977139049E-3</v>
      </c>
      <c r="AG16" s="39">
        <f t="shared" si="16"/>
        <v>9.1778787641451642E-3</v>
      </c>
      <c r="AH16" s="1"/>
      <c r="AI16" s="107">
        <f t="shared" si="17"/>
        <v>0.14022978537661179</v>
      </c>
      <c r="AJ16" s="108">
        <f t="shared" si="18"/>
        <v>15.27910631424351</v>
      </c>
    </row>
    <row r="17" spans="1:36" ht="15" thickBot="1" x14ac:dyDescent="0.35">
      <c r="A17" s="1"/>
      <c r="B17" s="50" t="s">
        <v>23</v>
      </c>
      <c r="C17" s="70">
        <v>0.14285700000000001</v>
      </c>
      <c r="D17" s="65">
        <v>0.14285700000000001</v>
      </c>
      <c r="E17" s="65">
        <v>0.111111</v>
      </c>
      <c r="F17" s="65">
        <v>0.14285700000000001</v>
      </c>
      <c r="G17" s="65">
        <v>0.111111</v>
      </c>
      <c r="H17" s="65">
        <v>0.111111</v>
      </c>
      <c r="I17" s="65">
        <v>1</v>
      </c>
      <c r="J17" s="65">
        <v>1</v>
      </c>
      <c r="K17" s="65">
        <v>0.14285700000000001</v>
      </c>
      <c r="L17" s="65">
        <v>0.14285700000000001</v>
      </c>
      <c r="M17" s="65">
        <v>3</v>
      </c>
      <c r="N17" s="65">
        <v>0.111111</v>
      </c>
      <c r="O17" s="65">
        <v>3</v>
      </c>
      <c r="P17" s="65">
        <v>1</v>
      </c>
      <c r="Q17" s="66">
        <v>1</v>
      </c>
      <c r="R17" s="36">
        <f t="shared" si="1"/>
        <v>5.5521229212817111E-3</v>
      </c>
      <c r="S17" s="25">
        <f t="shared" si="2"/>
        <v>5.5521229212817111E-3</v>
      </c>
      <c r="T17" s="25">
        <f t="shared" si="3"/>
        <v>1.9607825836214801E-2</v>
      </c>
      <c r="U17" s="25">
        <f t="shared" si="4"/>
        <v>5.5521229212817111E-3</v>
      </c>
      <c r="V17" s="25">
        <f t="shared" si="5"/>
        <v>1.9607825836214801E-2</v>
      </c>
      <c r="W17" s="25">
        <f t="shared" si="6"/>
        <v>1.9607825836214801E-2</v>
      </c>
      <c r="X17" s="25">
        <f t="shared" si="7"/>
        <v>1.1673151841814413E-2</v>
      </c>
      <c r="Y17" s="25">
        <f t="shared" si="8"/>
        <v>1.1673151841814413E-2</v>
      </c>
      <c r="Z17" s="25">
        <f t="shared" si="9"/>
        <v>5.5521229212817111E-3</v>
      </c>
      <c r="AA17" s="25">
        <f t="shared" si="10"/>
        <v>5.5521229212817111E-3</v>
      </c>
      <c r="AB17" s="25">
        <f t="shared" si="11"/>
        <v>3.1578947368421054E-2</v>
      </c>
      <c r="AC17" s="25">
        <f t="shared" si="12"/>
        <v>1.9607825836214801E-2</v>
      </c>
      <c r="AD17" s="25">
        <f t="shared" si="13"/>
        <v>3.1578947368421054E-2</v>
      </c>
      <c r="AE17" s="25">
        <f t="shared" si="14"/>
        <v>1.3215859147276294E-2</v>
      </c>
      <c r="AF17" s="78">
        <f t="shared" si="15"/>
        <v>1.3215859147276294E-2</v>
      </c>
      <c r="AG17" s="39">
        <f t="shared" si="16"/>
        <v>1.4608522311086084E-2</v>
      </c>
      <c r="AH17" s="1"/>
      <c r="AI17" s="107">
        <f t="shared" si="17"/>
        <v>0.22508566162159299</v>
      </c>
      <c r="AJ17" s="108">
        <f t="shared" si="18"/>
        <v>15.407832279571526</v>
      </c>
    </row>
    <row r="18" spans="1:36" ht="15" thickBot="1" x14ac:dyDescent="0.35">
      <c r="A18" s="1"/>
      <c r="B18" s="48" t="s">
        <v>21</v>
      </c>
      <c r="C18" s="71">
        <v>0.14285700000000001</v>
      </c>
      <c r="D18" s="72">
        <v>0.14285700000000001</v>
      </c>
      <c r="E18" s="72">
        <v>0.111111</v>
      </c>
      <c r="F18" s="72">
        <v>0.14285700000000001</v>
      </c>
      <c r="G18" s="72">
        <v>0.111111</v>
      </c>
      <c r="H18" s="72">
        <v>0.111111</v>
      </c>
      <c r="I18" s="72">
        <v>1</v>
      </c>
      <c r="J18" s="72">
        <v>1</v>
      </c>
      <c r="K18" s="72">
        <v>0.14285700000000001</v>
      </c>
      <c r="L18" s="72">
        <v>0.14285700000000001</v>
      </c>
      <c r="M18" s="72">
        <v>3</v>
      </c>
      <c r="N18" s="72">
        <v>0.111111</v>
      </c>
      <c r="O18" s="72">
        <v>3</v>
      </c>
      <c r="P18" s="72">
        <v>1</v>
      </c>
      <c r="Q18" s="73">
        <v>1</v>
      </c>
      <c r="R18" s="37">
        <f t="shared" si="1"/>
        <v>5.5521229212817111E-3</v>
      </c>
      <c r="S18" s="79">
        <f t="shared" si="2"/>
        <v>5.5521229212817111E-3</v>
      </c>
      <c r="T18" s="79">
        <f t="shared" si="3"/>
        <v>1.9607825836214801E-2</v>
      </c>
      <c r="U18" s="79">
        <f t="shared" si="4"/>
        <v>5.5521229212817111E-3</v>
      </c>
      <c r="V18" s="79">
        <f t="shared" si="5"/>
        <v>1.9607825836214801E-2</v>
      </c>
      <c r="W18" s="79">
        <f t="shared" si="6"/>
        <v>1.9607825836214801E-2</v>
      </c>
      <c r="X18" s="79">
        <f t="shared" si="7"/>
        <v>1.1673151841814413E-2</v>
      </c>
      <c r="Y18" s="79">
        <f t="shared" si="8"/>
        <v>1.1673151841814413E-2</v>
      </c>
      <c r="Z18" s="79">
        <f t="shared" si="9"/>
        <v>5.5521229212817111E-3</v>
      </c>
      <c r="AA18" s="79">
        <f t="shared" si="10"/>
        <v>5.5521229212817111E-3</v>
      </c>
      <c r="AB18" s="79">
        <f t="shared" si="11"/>
        <v>3.1578947368421054E-2</v>
      </c>
      <c r="AC18" s="79">
        <f t="shared" si="12"/>
        <v>1.9607825836214801E-2</v>
      </c>
      <c r="AD18" s="79">
        <f t="shared" si="13"/>
        <v>3.1578947368421054E-2</v>
      </c>
      <c r="AE18" s="79">
        <f t="shared" si="14"/>
        <v>1.3215859147276294E-2</v>
      </c>
      <c r="AF18" s="38">
        <f t="shared" si="15"/>
        <v>1.3215859147276294E-2</v>
      </c>
      <c r="AG18" s="38">
        <f t="shared" si="16"/>
        <v>1.4608522311086084E-2</v>
      </c>
      <c r="AH18" s="1"/>
      <c r="AI18" s="107">
        <f t="shared" si="17"/>
        <v>0.22508566162159299</v>
      </c>
      <c r="AJ18" s="108">
        <f t="shared" si="18"/>
        <v>15.407832279571526</v>
      </c>
    </row>
    <row r="19" spans="1:36" ht="14.5" thickBot="1" x14ac:dyDescent="0.35">
      <c r="A19" s="1"/>
      <c r="B19" s="23" t="s">
        <v>7</v>
      </c>
      <c r="C19" s="62">
        <f>SUM(C4:C18)</f>
        <v>25.730158000000003</v>
      </c>
      <c r="D19" s="62">
        <f t="shared" ref="D19:Q19" si="19">SUM(D4:D18)</f>
        <v>25.730158000000003</v>
      </c>
      <c r="E19" s="62">
        <f t="shared" si="19"/>
        <v>5.6666660000000011</v>
      </c>
      <c r="F19" s="62">
        <f t="shared" si="19"/>
        <v>25.730158000000003</v>
      </c>
      <c r="G19" s="62">
        <f t="shared" si="19"/>
        <v>5.6666660000000011</v>
      </c>
      <c r="H19" s="62">
        <f t="shared" si="19"/>
        <v>5.6666660000000011</v>
      </c>
      <c r="I19" s="62">
        <f t="shared" si="19"/>
        <v>85.666665999999992</v>
      </c>
      <c r="J19" s="62">
        <f t="shared" si="19"/>
        <v>85.666665999999992</v>
      </c>
      <c r="K19" s="62">
        <f t="shared" si="19"/>
        <v>25.730158000000003</v>
      </c>
      <c r="L19" s="62">
        <f t="shared" si="19"/>
        <v>25.730158000000003</v>
      </c>
      <c r="M19" s="62">
        <f t="shared" si="19"/>
        <v>95</v>
      </c>
      <c r="N19" s="62">
        <f t="shared" si="19"/>
        <v>5.6666660000000011</v>
      </c>
      <c r="O19" s="62">
        <f t="shared" si="19"/>
        <v>95</v>
      </c>
      <c r="P19" s="62">
        <f t="shared" si="19"/>
        <v>75.666665999999992</v>
      </c>
      <c r="Q19" s="80">
        <f t="shared" si="19"/>
        <v>75.666665999999992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6" ht="14.5" thickBot="1" x14ac:dyDescent="0.35">
      <c r="B20" s="130" t="s">
        <v>9</v>
      </c>
      <c r="C20" s="131">
        <f>AG4</f>
        <v>6.134089527944294E-2</v>
      </c>
      <c r="D20" s="131">
        <f>AG5</f>
        <v>6.134089527944294E-2</v>
      </c>
      <c r="E20" s="131">
        <f>AG6</f>
        <v>0.15433205338980732</v>
      </c>
      <c r="F20" s="131">
        <f>AG7</f>
        <v>6.134089527944294E-2</v>
      </c>
      <c r="G20" s="131">
        <f>AG8</f>
        <v>0.15433205338980732</v>
      </c>
      <c r="H20" s="131">
        <f>AG9</f>
        <v>0.15433205338980732</v>
      </c>
      <c r="I20" s="131">
        <f>AG10</f>
        <v>1.4197253946546699E-2</v>
      </c>
      <c r="J20" s="131">
        <f>AG11</f>
        <v>1.4197253946546699E-2</v>
      </c>
      <c r="K20" s="131">
        <f>AG12</f>
        <v>6.134089527944294E-2</v>
      </c>
      <c r="L20" s="131">
        <f>AG13</f>
        <v>6.134089527944294E-2</v>
      </c>
      <c r="M20" s="131">
        <f>AG14</f>
        <v>9.1778787641451642E-3</v>
      </c>
      <c r="N20" s="131">
        <f>AG15</f>
        <v>0.15433205338980732</v>
      </c>
      <c r="O20" s="131">
        <f>AG16</f>
        <v>9.1778787641451642E-3</v>
      </c>
      <c r="P20" s="131">
        <f>AG17</f>
        <v>1.4608522311086084E-2</v>
      </c>
      <c r="Q20" s="132">
        <f>AG18</f>
        <v>1.4608522311086084E-2</v>
      </c>
    </row>
  </sheetData>
  <mergeCells count="2">
    <mergeCell ref="B2:AG2"/>
    <mergeCell ref="R3:AF3"/>
  </mergeCells>
  <conditionalFormatting sqref="AP4">
    <cfRule type="cellIs" dxfId="7" priority="1" operator="greaterThan">
      <formula>0.1</formula>
    </cfRule>
    <cfRule type="cellIs" dxfId="6" priority="2" operator="lessThan">
      <formula>0.1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49FD-ACE4-4D30-B60A-B674D6F351C7}">
  <dimension ref="A1:AP20"/>
  <sheetViews>
    <sheetView topLeftCell="U1" zoomScale="72" zoomScaleNormal="85" workbookViewId="0">
      <selection activeCell="AI3" sqref="AI3:AP18"/>
    </sheetView>
  </sheetViews>
  <sheetFormatPr baseColWidth="10" defaultRowHeight="14" x14ac:dyDescent="0.3"/>
  <cols>
    <col min="1" max="1" width="10.90625" style="44"/>
    <col min="2" max="2" width="25.08984375" style="44" customWidth="1"/>
    <col min="3" max="11" width="10.6328125" style="44" customWidth="1"/>
    <col min="12" max="17" width="10.90625" style="44"/>
    <col min="18" max="32" width="7.81640625" style="44" customWidth="1"/>
    <col min="33" max="16384" width="10.90625" style="44"/>
  </cols>
  <sheetData>
    <row r="1" spans="1:42" ht="14.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2" ht="14.5" thickBot="1" x14ac:dyDescent="0.35">
      <c r="A2" s="1"/>
      <c r="B2" s="187" t="s">
        <v>13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9"/>
      <c r="AH2" s="1"/>
    </row>
    <row r="3" spans="1:42" s="47" customFormat="1" ht="42.5" thickBot="1" x14ac:dyDescent="0.35">
      <c r="A3" s="1"/>
      <c r="B3" s="12" t="s">
        <v>0</v>
      </c>
      <c r="C3" s="45" t="s">
        <v>22</v>
      </c>
      <c r="D3" s="45" t="s">
        <v>29</v>
      </c>
      <c r="E3" s="14" t="s">
        <v>18</v>
      </c>
      <c r="F3" s="46" t="s">
        <v>24</v>
      </c>
      <c r="G3" s="46" t="s">
        <v>31</v>
      </c>
      <c r="H3" s="45" t="s">
        <v>25</v>
      </c>
      <c r="I3" s="45" t="s">
        <v>27</v>
      </c>
      <c r="J3" s="46" t="s">
        <v>20</v>
      </c>
      <c r="K3" s="45" t="s">
        <v>19</v>
      </c>
      <c r="L3" s="46" t="s">
        <v>32</v>
      </c>
      <c r="M3" s="46" t="s">
        <v>26</v>
      </c>
      <c r="N3" s="45" t="s">
        <v>30</v>
      </c>
      <c r="O3" s="46" t="s">
        <v>28</v>
      </c>
      <c r="P3" s="46" t="s">
        <v>23</v>
      </c>
      <c r="Q3" s="45" t="s">
        <v>21</v>
      </c>
      <c r="R3" s="178" t="s">
        <v>8</v>
      </c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79"/>
      <c r="AG3" s="12" t="s">
        <v>12</v>
      </c>
      <c r="AH3" s="1"/>
      <c r="AI3" s="14" t="s">
        <v>43</v>
      </c>
      <c r="AJ3" s="12" t="s">
        <v>41</v>
      </c>
      <c r="AK3" s="12" t="s">
        <v>45</v>
      </c>
      <c r="AL3" s="12" t="s">
        <v>44</v>
      </c>
      <c r="AM3" s="12" t="s">
        <v>46</v>
      </c>
      <c r="AN3" s="1"/>
      <c r="AO3" s="12" t="s">
        <v>42</v>
      </c>
      <c r="AP3" s="39">
        <f>(AK4-AL4)/(AL4-1)</f>
        <v>4.5444471650635955E-2</v>
      </c>
    </row>
    <row r="4" spans="1:42" ht="15" thickBot="1" x14ac:dyDescent="0.4">
      <c r="A4" s="1"/>
      <c r="B4" s="48" t="s">
        <v>22</v>
      </c>
      <c r="C4" s="98">
        <v>1</v>
      </c>
      <c r="D4" s="97">
        <v>3</v>
      </c>
      <c r="E4" s="97">
        <v>1</v>
      </c>
      <c r="F4" s="97">
        <v>1</v>
      </c>
      <c r="G4" s="97">
        <v>3</v>
      </c>
      <c r="H4" s="97">
        <v>3</v>
      </c>
      <c r="I4" s="97">
        <v>1</v>
      </c>
      <c r="J4" s="97">
        <v>3</v>
      </c>
      <c r="K4" s="97">
        <v>1</v>
      </c>
      <c r="L4" s="97">
        <v>1</v>
      </c>
      <c r="M4" s="97">
        <v>1</v>
      </c>
      <c r="N4" s="97">
        <v>7</v>
      </c>
      <c r="O4" s="97">
        <v>1</v>
      </c>
      <c r="P4" s="97">
        <v>1</v>
      </c>
      <c r="Q4" s="96">
        <v>1</v>
      </c>
      <c r="R4" s="67">
        <f>C4/C$19</f>
        <v>8.7136940669067062E-2</v>
      </c>
      <c r="S4" s="67">
        <f t="shared" ref="S4:AF4" si="0">D4/D$19</f>
        <v>0.12396694214876033</v>
      </c>
      <c r="T4" s="67">
        <f t="shared" si="0"/>
        <v>4.9504950495049507E-2</v>
      </c>
      <c r="U4" s="67">
        <f t="shared" si="0"/>
        <v>4.9504950495049507E-2</v>
      </c>
      <c r="V4" s="67">
        <f t="shared" si="0"/>
        <v>9.2783506111170172E-2</v>
      </c>
      <c r="W4" s="67">
        <f t="shared" si="0"/>
        <v>9.2783506111170172E-2</v>
      </c>
      <c r="X4" s="67">
        <f t="shared" si="0"/>
        <v>0.11891282286912384</v>
      </c>
      <c r="Y4" s="67">
        <f t="shared" si="0"/>
        <v>9.2783506111170172E-2</v>
      </c>
      <c r="Z4" s="67">
        <f t="shared" si="0"/>
        <v>6.1728398872123391E-2</v>
      </c>
      <c r="AA4" s="67">
        <f t="shared" si="0"/>
        <v>0.14403296626531881</v>
      </c>
      <c r="AB4" s="67">
        <f t="shared" si="0"/>
        <v>0.14131902657193393</v>
      </c>
      <c r="AC4" s="67">
        <f t="shared" si="0"/>
        <v>9.5890410958904104E-2</v>
      </c>
      <c r="AD4" s="67">
        <f t="shared" si="0"/>
        <v>4.9504950495049507E-2</v>
      </c>
      <c r="AE4" s="67">
        <f t="shared" si="0"/>
        <v>6.1728398872123391E-2</v>
      </c>
      <c r="AF4" s="67">
        <f t="shared" si="0"/>
        <v>4.9504950495049507E-2</v>
      </c>
      <c r="AG4" s="39">
        <f>AVERAGE(R4:AF4)</f>
        <v>8.7405748502737551E-2</v>
      </c>
      <c r="AH4" s="1"/>
      <c r="AI4" s="107">
        <f>SUMPRODUCT(C4:Q4,$C$20:$Q$20)</f>
        <v>1.373819705836099</v>
      </c>
      <c r="AJ4" s="108">
        <f>AI4/AG4</f>
        <v>15.717727144606181</v>
      </c>
      <c r="AK4" s="109">
        <f>AVERAGE(AJ4:AJ18)</f>
        <v>15.636222603108903</v>
      </c>
      <c r="AL4" s="109">
        <v>15</v>
      </c>
      <c r="AM4" s="108">
        <f>(1.86668*(15-2))/15</f>
        <v>1.6177893333333333</v>
      </c>
      <c r="AN4" s="35"/>
      <c r="AO4" s="103" t="s">
        <v>10</v>
      </c>
      <c r="AP4" s="34">
        <f>AP3/AM4</f>
        <v>2.8090475511419671E-2</v>
      </c>
    </row>
    <row r="5" spans="1:42" ht="15" thickBot="1" x14ac:dyDescent="0.4">
      <c r="A5" s="1"/>
      <c r="B5" s="48" t="s">
        <v>29</v>
      </c>
      <c r="C5" s="95">
        <v>0.33333299999999999</v>
      </c>
      <c r="D5" s="94">
        <v>1</v>
      </c>
      <c r="E5" s="94">
        <v>1</v>
      </c>
      <c r="F5" s="94">
        <v>1</v>
      </c>
      <c r="G5" s="94">
        <v>1</v>
      </c>
      <c r="H5" s="94">
        <v>1</v>
      </c>
      <c r="I5" s="94">
        <v>0.33333299999999999</v>
      </c>
      <c r="J5" s="94">
        <v>1</v>
      </c>
      <c r="K5" s="94">
        <v>1</v>
      </c>
      <c r="L5" s="94">
        <v>0.2</v>
      </c>
      <c r="M5" s="94">
        <v>0.33333299999999999</v>
      </c>
      <c r="N5" s="94">
        <v>5</v>
      </c>
      <c r="O5" s="94">
        <v>1</v>
      </c>
      <c r="P5" s="94">
        <v>1</v>
      </c>
      <c r="Q5" s="93">
        <v>1</v>
      </c>
      <c r="R5" s="67">
        <f t="shared" ref="R5:R18" si="1">C5/C$19</f>
        <v>2.9045617844042131E-2</v>
      </c>
      <c r="S5" s="67">
        <f t="shared" ref="S5:S18" si="2">D5/D$19</f>
        <v>4.1322314049586778E-2</v>
      </c>
      <c r="T5" s="67">
        <f t="shared" ref="T5:T18" si="3">E5/E$19</f>
        <v>4.9504950495049507E-2</v>
      </c>
      <c r="U5" s="67">
        <f t="shared" ref="U5:U18" si="4">F5/F$19</f>
        <v>4.9504950495049507E-2</v>
      </c>
      <c r="V5" s="67">
        <f t="shared" ref="V5:V18" si="5">G5/G$19</f>
        <v>3.092783537039006E-2</v>
      </c>
      <c r="W5" s="67">
        <f t="shared" ref="W5:W18" si="6">H5/H$19</f>
        <v>3.092783537039006E-2</v>
      </c>
      <c r="X5" s="67">
        <f t="shared" ref="X5:X18" si="7">I5/I$19</f>
        <v>3.9637567985433657E-2</v>
      </c>
      <c r="Y5" s="67">
        <f t="shared" ref="Y5:Y18" si="8">J5/J$19</f>
        <v>3.092783537039006E-2</v>
      </c>
      <c r="Z5" s="67">
        <f t="shared" ref="Z5:Z18" si="9">K5/K$19</f>
        <v>6.1728398872123391E-2</v>
      </c>
      <c r="AA5" s="67">
        <f t="shared" ref="AA5:AA18" si="10">L5/L$19</f>
        <v>2.8806593253063763E-2</v>
      </c>
      <c r="AB5" s="67">
        <f t="shared" ref="AB5:AB18" si="11">M5/M$19</f>
        <v>4.7106295084302446E-2</v>
      </c>
      <c r="AC5" s="67">
        <f t="shared" ref="AC5:AC18" si="12">N5/N$19</f>
        <v>6.8493150684931503E-2</v>
      </c>
      <c r="AD5" s="67">
        <f t="shared" ref="AD5:AD18" si="13">O5/O$19</f>
        <v>4.9504950495049507E-2</v>
      </c>
      <c r="AE5" s="67">
        <f t="shared" ref="AE5:AE18" si="14">P5/P$19</f>
        <v>6.1728398872123391E-2</v>
      </c>
      <c r="AF5" s="67">
        <f t="shared" ref="AF5:AF18" si="15">Q5/Q$19</f>
        <v>4.9504950495049507E-2</v>
      </c>
      <c r="AG5" s="39">
        <f t="shared" ref="AG5:AG18" si="16">AVERAGE(R5:AF5)</f>
        <v>4.4578109649131691E-2</v>
      </c>
      <c r="AH5" s="1"/>
      <c r="AI5" s="107">
        <f t="shared" ref="AI5:AI18" si="17">SUMPRODUCT(C5:Q5,$C$20:$Q$20)</f>
        <v>0.69396573001446982</v>
      </c>
      <c r="AJ5" s="108">
        <f>AI5/AG5</f>
        <v>15.567410450478516</v>
      </c>
      <c r="AK5" s="35"/>
      <c r="AL5" s="35"/>
      <c r="AM5" s="35"/>
      <c r="AN5" s="35"/>
      <c r="AO5" s="35"/>
      <c r="AP5" s="35"/>
    </row>
    <row r="6" spans="1:42" ht="15" thickBot="1" x14ac:dyDescent="0.4">
      <c r="A6" s="1"/>
      <c r="B6" s="49" t="s">
        <v>18</v>
      </c>
      <c r="C6" s="95">
        <v>1</v>
      </c>
      <c r="D6" s="94">
        <v>1</v>
      </c>
      <c r="E6" s="94">
        <v>1</v>
      </c>
      <c r="F6" s="94">
        <v>1</v>
      </c>
      <c r="G6" s="94">
        <v>1</v>
      </c>
      <c r="H6" s="94">
        <v>1</v>
      </c>
      <c r="I6" s="94">
        <v>0.33333299999999999</v>
      </c>
      <c r="J6" s="94">
        <v>1</v>
      </c>
      <c r="K6" s="94">
        <v>1</v>
      </c>
      <c r="L6" s="94">
        <v>0.33333299999999999</v>
      </c>
      <c r="M6" s="94">
        <v>0.33333299999999999</v>
      </c>
      <c r="N6" s="94">
        <v>5</v>
      </c>
      <c r="O6" s="94">
        <v>1</v>
      </c>
      <c r="P6" s="94">
        <v>1</v>
      </c>
      <c r="Q6" s="93">
        <v>1</v>
      </c>
      <c r="R6" s="67">
        <f t="shared" si="1"/>
        <v>8.7136940669067062E-2</v>
      </c>
      <c r="S6" s="67">
        <f t="shared" si="2"/>
        <v>4.1322314049586778E-2</v>
      </c>
      <c r="T6" s="67">
        <f t="shared" si="3"/>
        <v>4.9504950495049507E-2</v>
      </c>
      <c r="U6" s="67">
        <f t="shared" si="4"/>
        <v>4.9504950495049507E-2</v>
      </c>
      <c r="V6" s="67">
        <f t="shared" si="5"/>
        <v>3.092783537039006E-2</v>
      </c>
      <c r="W6" s="67">
        <f t="shared" si="6"/>
        <v>3.092783537039006E-2</v>
      </c>
      <c r="X6" s="67">
        <f t="shared" si="7"/>
        <v>3.9637567985433657E-2</v>
      </c>
      <c r="Y6" s="67">
        <f t="shared" si="8"/>
        <v>3.092783537039006E-2</v>
      </c>
      <c r="Z6" s="67">
        <f t="shared" si="9"/>
        <v>6.1728398872123391E-2</v>
      </c>
      <c r="AA6" s="67">
        <f t="shared" si="10"/>
        <v>4.8010940744117513E-2</v>
      </c>
      <c r="AB6" s="67">
        <f t="shared" si="11"/>
        <v>4.7106295084302446E-2</v>
      </c>
      <c r="AC6" s="67">
        <f t="shared" si="12"/>
        <v>6.8493150684931503E-2</v>
      </c>
      <c r="AD6" s="67">
        <f t="shared" si="13"/>
        <v>4.9504950495049507E-2</v>
      </c>
      <c r="AE6" s="67">
        <f t="shared" si="14"/>
        <v>6.1728398872123391E-2</v>
      </c>
      <c r="AF6" s="67">
        <f t="shared" si="15"/>
        <v>4.9504950495049507E-2</v>
      </c>
      <c r="AG6" s="39">
        <f t="shared" si="16"/>
        <v>4.973115433687026E-2</v>
      </c>
      <c r="AH6" s="1"/>
      <c r="AI6" s="107">
        <f t="shared" si="17"/>
        <v>0.77198955158873372</v>
      </c>
      <c r="AJ6" s="108">
        <f t="shared" ref="AJ6:AJ18" si="18">AI6/AG6</f>
        <v>15.523258244910418</v>
      </c>
      <c r="AK6" s="101"/>
      <c r="AL6" s="101"/>
      <c r="AM6" s="101"/>
      <c r="AN6" s="35"/>
      <c r="AO6" s="1"/>
      <c r="AP6" s="35"/>
    </row>
    <row r="7" spans="1:42" ht="15" thickBot="1" x14ac:dyDescent="0.4">
      <c r="A7" s="1"/>
      <c r="B7" s="50" t="s">
        <v>24</v>
      </c>
      <c r="C7" s="95">
        <v>1</v>
      </c>
      <c r="D7" s="94">
        <v>1</v>
      </c>
      <c r="E7" s="94">
        <v>1</v>
      </c>
      <c r="F7" s="94">
        <v>1</v>
      </c>
      <c r="G7" s="94">
        <v>1</v>
      </c>
      <c r="H7" s="94">
        <v>1</v>
      </c>
      <c r="I7" s="94">
        <v>0.33333299999999999</v>
      </c>
      <c r="J7" s="94">
        <v>1</v>
      </c>
      <c r="K7" s="94">
        <v>1</v>
      </c>
      <c r="L7" s="94">
        <v>0.33333299999999999</v>
      </c>
      <c r="M7" s="94">
        <v>0.33333299999999999</v>
      </c>
      <c r="N7" s="94">
        <v>5</v>
      </c>
      <c r="O7" s="94">
        <v>1</v>
      </c>
      <c r="P7" s="94">
        <v>1</v>
      </c>
      <c r="Q7" s="93">
        <v>1</v>
      </c>
      <c r="R7" s="67">
        <f t="shared" si="1"/>
        <v>8.7136940669067062E-2</v>
      </c>
      <c r="S7" s="67">
        <f t="shared" si="2"/>
        <v>4.1322314049586778E-2</v>
      </c>
      <c r="T7" s="67">
        <f t="shared" si="3"/>
        <v>4.9504950495049507E-2</v>
      </c>
      <c r="U7" s="67">
        <f t="shared" si="4"/>
        <v>4.9504950495049507E-2</v>
      </c>
      <c r="V7" s="67">
        <f t="shared" si="5"/>
        <v>3.092783537039006E-2</v>
      </c>
      <c r="W7" s="67">
        <f t="shared" si="6"/>
        <v>3.092783537039006E-2</v>
      </c>
      <c r="X7" s="67">
        <f t="shared" si="7"/>
        <v>3.9637567985433657E-2</v>
      </c>
      <c r="Y7" s="67">
        <f t="shared" si="8"/>
        <v>3.092783537039006E-2</v>
      </c>
      <c r="Z7" s="67">
        <f t="shared" si="9"/>
        <v>6.1728398872123391E-2</v>
      </c>
      <c r="AA7" s="67">
        <f t="shared" si="10"/>
        <v>4.8010940744117513E-2</v>
      </c>
      <c r="AB7" s="67">
        <f t="shared" si="11"/>
        <v>4.7106295084302446E-2</v>
      </c>
      <c r="AC7" s="67">
        <f t="shared" si="12"/>
        <v>6.8493150684931503E-2</v>
      </c>
      <c r="AD7" s="67">
        <f t="shared" si="13"/>
        <v>4.9504950495049507E-2</v>
      </c>
      <c r="AE7" s="67">
        <f t="shared" si="14"/>
        <v>6.1728398872123391E-2</v>
      </c>
      <c r="AF7" s="67">
        <f t="shared" si="15"/>
        <v>4.9504950495049507E-2</v>
      </c>
      <c r="AG7" s="39">
        <f t="shared" si="16"/>
        <v>4.973115433687026E-2</v>
      </c>
      <c r="AH7" s="1"/>
      <c r="AI7" s="107">
        <f t="shared" si="17"/>
        <v>0.77198955158873372</v>
      </c>
      <c r="AJ7" s="108">
        <f t="shared" si="18"/>
        <v>15.523258244910418</v>
      </c>
      <c r="AK7" s="101"/>
      <c r="AL7" s="101"/>
      <c r="AM7" s="101"/>
      <c r="AN7" s="1"/>
      <c r="AO7" s="1"/>
      <c r="AP7" s="35"/>
    </row>
    <row r="8" spans="1:42" ht="15" thickBot="1" x14ac:dyDescent="0.4">
      <c r="A8" s="1"/>
      <c r="B8" s="50" t="s">
        <v>31</v>
      </c>
      <c r="C8" s="95">
        <v>0.33333299999999999</v>
      </c>
      <c r="D8" s="94">
        <v>1</v>
      </c>
      <c r="E8" s="94">
        <v>1</v>
      </c>
      <c r="F8" s="94">
        <v>1</v>
      </c>
      <c r="G8" s="94">
        <v>1</v>
      </c>
      <c r="H8" s="94">
        <v>1</v>
      </c>
      <c r="I8" s="94">
        <v>0.2</v>
      </c>
      <c r="J8" s="94">
        <v>1</v>
      </c>
      <c r="K8" s="94">
        <v>0.33333299999999999</v>
      </c>
      <c r="L8" s="94">
        <v>0.2</v>
      </c>
      <c r="M8" s="94">
        <v>0.2</v>
      </c>
      <c r="N8" s="94">
        <v>3</v>
      </c>
      <c r="O8" s="94">
        <v>1</v>
      </c>
      <c r="P8" s="94">
        <v>0.33333299999999999</v>
      </c>
      <c r="Q8" s="93">
        <v>1</v>
      </c>
      <c r="R8" s="67">
        <f t="shared" si="1"/>
        <v>2.9045617844042131E-2</v>
      </c>
      <c r="S8" s="67">
        <f t="shared" si="2"/>
        <v>4.1322314049586778E-2</v>
      </c>
      <c r="T8" s="67">
        <f t="shared" si="3"/>
        <v>4.9504950495049507E-2</v>
      </c>
      <c r="U8" s="67">
        <f t="shared" si="4"/>
        <v>4.9504950495049507E-2</v>
      </c>
      <c r="V8" s="67">
        <f t="shared" si="5"/>
        <v>3.092783537039006E-2</v>
      </c>
      <c r="W8" s="67">
        <f t="shared" si="6"/>
        <v>3.092783537039006E-2</v>
      </c>
      <c r="X8" s="67">
        <f t="shared" si="7"/>
        <v>2.3782564573824772E-2</v>
      </c>
      <c r="Y8" s="67">
        <f t="shared" si="8"/>
        <v>3.092783537039006E-2</v>
      </c>
      <c r="Z8" s="67">
        <f t="shared" si="9"/>
        <v>2.0576112381241508E-2</v>
      </c>
      <c r="AA8" s="67">
        <f t="shared" si="10"/>
        <v>2.8806593253063763E-2</v>
      </c>
      <c r="AB8" s="67">
        <f t="shared" si="11"/>
        <v>2.8263805314386787E-2</v>
      </c>
      <c r="AC8" s="67">
        <f t="shared" si="12"/>
        <v>4.1095890410958902E-2</v>
      </c>
      <c r="AD8" s="67">
        <f t="shared" si="13"/>
        <v>4.9504950495049507E-2</v>
      </c>
      <c r="AE8" s="67">
        <f t="shared" si="14"/>
        <v>2.0576112381241508E-2</v>
      </c>
      <c r="AF8" s="67">
        <f t="shared" si="15"/>
        <v>4.9504950495049507E-2</v>
      </c>
      <c r="AG8" s="39">
        <f t="shared" si="16"/>
        <v>3.4951487886647627E-2</v>
      </c>
      <c r="AH8" s="1"/>
      <c r="AI8" s="107">
        <f t="shared" si="17"/>
        <v>0.54328852069447209</v>
      </c>
      <c r="AJ8" s="108">
        <f t="shared" si="18"/>
        <v>15.544074188098365</v>
      </c>
      <c r="AK8" s="101"/>
      <c r="AL8" s="101"/>
      <c r="AM8" s="101"/>
      <c r="AN8" s="1"/>
      <c r="AO8" s="35"/>
      <c r="AP8" s="35"/>
    </row>
    <row r="9" spans="1:42" ht="15" thickBot="1" x14ac:dyDescent="0.4">
      <c r="A9" s="1"/>
      <c r="B9" s="48" t="s">
        <v>25</v>
      </c>
      <c r="C9" s="95">
        <v>0.33333299999999999</v>
      </c>
      <c r="D9" s="94">
        <v>1</v>
      </c>
      <c r="E9" s="94">
        <v>1</v>
      </c>
      <c r="F9" s="94">
        <v>1</v>
      </c>
      <c r="G9" s="94">
        <v>1</v>
      </c>
      <c r="H9" s="94">
        <v>1</v>
      </c>
      <c r="I9" s="94">
        <v>0.2</v>
      </c>
      <c r="J9" s="94">
        <v>1</v>
      </c>
      <c r="K9" s="94">
        <v>0.33333299999999999</v>
      </c>
      <c r="L9" s="94">
        <v>0.2</v>
      </c>
      <c r="M9" s="94">
        <v>0.2</v>
      </c>
      <c r="N9" s="94">
        <v>3</v>
      </c>
      <c r="O9" s="94">
        <v>1</v>
      </c>
      <c r="P9" s="94">
        <v>0.33333299999999999</v>
      </c>
      <c r="Q9" s="93">
        <v>1</v>
      </c>
      <c r="R9" s="67">
        <f t="shared" si="1"/>
        <v>2.9045617844042131E-2</v>
      </c>
      <c r="S9" s="67">
        <f t="shared" si="2"/>
        <v>4.1322314049586778E-2</v>
      </c>
      <c r="T9" s="67">
        <f t="shared" si="3"/>
        <v>4.9504950495049507E-2</v>
      </c>
      <c r="U9" s="67">
        <f t="shared" si="4"/>
        <v>4.9504950495049507E-2</v>
      </c>
      <c r="V9" s="67">
        <f t="shared" si="5"/>
        <v>3.092783537039006E-2</v>
      </c>
      <c r="W9" s="67">
        <f t="shared" si="6"/>
        <v>3.092783537039006E-2</v>
      </c>
      <c r="X9" s="67">
        <f t="shared" si="7"/>
        <v>2.3782564573824772E-2</v>
      </c>
      <c r="Y9" s="67">
        <f t="shared" si="8"/>
        <v>3.092783537039006E-2</v>
      </c>
      <c r="Z9" s="67">
        <f t="shared" si="9"/>
        <v>2.0576112381241508E-2</v>
      </c>
      <c r="AA9" s="67">
        <f t="shared" si="10"/>
        <v>2.8806593253063763E-2</v>
      </c>
      <c r="AB9" s="67">
        <f t="shared" si="11"/>
        <v>2.8263805314386787E-2</v>
      </c>
      <c r="AC9" s="67">
        <f t="shared" si="12"/>
        <v>4.1095890410958902E-2</v>
      </c>
      <c r="AD9" s="67">
        <f t="shared" si="13"/>
        <v>4.9504950495049507E-2</v>
      </c>
      <c r="AE9" s="67">
        <f t="shared" si="14"/>
        <v>2.0576112381241508E-2</v>
      </c>
      <c r="AF9" s="67">
        <f t="shared" si="15"/>
        <v>4.9504950495049507E-2</v>
      </c>
      <c r="AG9" s="39">
        <f t="shared" si="16"/>
        <v>3.4951487886647627E-2</v>
      </c>
      <c r="AH9" s="1"/>
      <c r="AI9" s="107">
        <f t="shared" si="17"/>
        <v>0.54328852069447209</v>
      </c>
      <c r="AJ9" s="108">
        <f t="shared" si="18"/>
        <v>15.544074188098365</v>
      </c>
    </row>
    <row r="10" spans="1:42" ht="15" thickBot="1" x14ac:dyDescent="0.4">
      <c r="A10" s="1"/>
      <c r="B10" s="48" t="s">
        <v>27</v>
      </c>
      <c r="C10" s="95">
        <v>1</v>
      </c>
      <c r="D10" s="94">
        <v>3</v>
      </c>
      <c r="E10" s="94">
        <v>3</v>
      </c>
      <c r="F10" s="94">
        <v>3</v>
      </c>
      <c r="G10" s="94">
        <v>5</v>
      </c>
      <c r="H10" s="94">
        <v>5</v>
      </c>
      <c r="I10" s="94">
        <v>1</v>
      </c>
      <c r="J10" s="94">
        <v>5</v>
      </c>
      <c r="K10" s="94">
        <v>1</v>
      </c>
      <c r="L10" s="94">
        <v>1</v>
      </c>
      <c r="M10" s="94">
        <v>1</v>
      </c>
      <c r="N10" s="94">
        <v>7</v>
      </c>
      <c r="O10" s="94">
        <v>3</v>
      </c>
      <c r="P10" s="94">
        <v>1</v>
      </c>
      <c r="Q10" s="93">
        <v>3</v>
      </c>
      <c r="R10" s="67">
        <f t="shared" si="1"/>
        <v>8.7136940669067062E-2</v>
      </c>
      <c r="S10" s="67">
        <f t="shared" si="2"/>
        <v>0.12396694214876033</v>
      </c>
      <c r="T10" s="67">
        <f t="shared" si="3"/>
        <v>0.14851485148514851</v>
      </c>
      <c r="U10" s="67">
        <f t="shared" si="4"/>
        <v>0.14851485148514851</v>
      </c>
      <c r="V10" s="67">
        <f t="shared" si="5"/>
        <v>0.15463917685195031</v>
      </c>
      <c r="W10" s="67">
        <f t="shared" si="6"/>
        <v>0.15463917685195031</v>
      </c>
      <c r="X10" s="67">
        <f t="shared" si="7"/>
        <v>0.11891282286912384</v>
      </c>
      <c r="Y10" s="67">
        <f t="shared" si="8"/>
        <v>0.15463917685195031</v>
      </c>
      <c r="Z10" s="67">
        <f t="shared" si="9"/>
        <v>6.1728398872123391E-2</v>
      </c>
      <c r="AA10" s="67">
        <f t="shared" si="10"/>
        <v>0.14403296626531881</v>
      </c>
      <c r="AB10" s="67">
        <f t="shared" si="11"/>
        <v>0.14131902657193393</v>
      </c>
      <c r="AC10" s="67">
        <f t="shared" si="12"/>
        <v>9.5890410958904104E-2</v>
      </c>
      <c r="AD10" s="67">
        <f t="shared" si="13"/>
        <v>0.14851485148514851</v>
      </c>
      <c r="AE10" s="67">
        <f t="shared" si="14"/>
        <v>6.1728398872123391E-2</v>
      </c>
      <c r="AF10" s="67">
        <f t="shared" si="15"/>
        <v>0.14851485148514851</v>
      </c>
      <c r="AG10" s="39">
        <f t="shared" si="16"/>
        <v>0.12617952291491996</v>
      </c>
      <c r="AH10" s="1"/>
      <c r="AI10" s="107">
        <f t="shared" si="17"/>
        <v>1.9813778678509466</v>
      </c>
      <c r="AJ10" s="108">
        <f t="shared" si="18"/>
        <v>15.702847990532867</v>
      </c>
    </row>
    <row r="11" spans="1:42" ht="15" thickBot="1" x14ac:dyDescent="0.4">
      <c r="A11" s="1"/>
      <c r="B11" s="50" t="s">
        <v>20</v>
      </c>
      <c r="C11" s="95">
        <v>0.33333299999999999</v>
      </c>
      <c r="D11" s="94">
        <v>1</v>
      </c>
      <c r="E11" s="94">
        <v>1</v>
      </c>
      <c r="F11" s="94">
        <v>1</v>
      </c>
      <c r="G11" s="94">
        <v>1</v>
      </c>
      <c r="H11" s="94">
        <v>1</v>
      </c>
      <c r="I11" s="94">
        <v>0.2</v>
      </c>
      <c r="J11" s="94">
        <v>1</v>
      </c>
      <c r="K11" s="94">
        <v>0.33333299999999999</v>
      </c>
      <c r="L11" s="94">
        <v>0.2</v>
      </c>
      <c r="M11" s="94">
        <v>0.2</v>
      </c>
      <c r="N11" s="94">
        <v>3</v>
      </c>
      <c r="O11" s="94">
        <v>1</v>
      </c>
      <c r="P11" s="94">
        <v>0.33333299999999999</v>
      </c>
      <c r="Q11" s="93">
        <v>1</v>
      </c>
      <c r="R11" s="67">
        <f t="shared" si="1"/>
        <v>2.9045617844042131E-2</v>
      </c>
      <c r="S11" s="67">
        <f t="shared" si="2"/>
        <v>4.1322314049586778E-2</v>
      </c>
      <c r="T11" s="67">
        <f t="shared" si="3"/>
        <v>4.9504950495049507E-2</v>
      </c>
      <c r="U11" s="67">
        <f t="shared" si="4"/>
        <v>4.9504950495049507E-2</v>
      </c>
      <c r="V11" s="67">
        <f t="shared" si="5"/>
        <v>3.092783537039006E-2</v>
      </c>
      <c r="W11" s="67">
        <f t="shared" si="6"/>
        <v>3.092783537039006E-2</v>
      </c>
      <c r="X11" s="67">
        <f t="shared" si="7"/>
        <v>2.3782564573824772E-2</v>
      </c>
      <c r="Y11" s="67">
        <f t="shared" si="8"/>
        <v>3.092783537039006E-2</v>
      </c>
      <c r="Z11" s="67">
        <f t="shared" si="9"/>
        <v>2.0576112381241508E-2</v>
      </c>
      <c r="AA11" s="67">
        <f t="shared" si="10"/>
        <v>2.8806593253063763E-2</v>
      </c>
      <c r="AB11" s="67">
        <f t="shared" si="11"/>
        <v>2.8263805314386787E-2</v>
      </c>
      <c r="AC11" s="67">
        <f t="shared" si="12"/>
        <v>4.1095890410958902E-2</v>
      </c>
      <c r="AD11" s="67">
        <f t="shared" si="13"/>
        <v>4.9504950495049507E-2</v>
      </c>
      <c r="AE11" s="67">
        <f t="shared" si="14"/>
        <v>2.0576112381241508E-2</v>
      </c>
      <c r="AF11" s="67">
        <f t="shared" si="15"/>
        <v>4.9504950495049507E-2</v>
      </c>
      <c r="AG11" s="39">
        <f t="shared" si="16"/>
        <v>3.4951487886647627E-2</v>
      </c>
      <c r="AH11" s="1"/>
      <c r="AI11" s="107">
        <f t="shared" si="17"/>
        <v>0.54328852069447209</v>
      </c>
      <c r="AJ11" s="108">
        <f t="shared" si="18"/>
        <v>15.544074188098365</v>
      </c>
    </row>
    <row r="12" spans="1:42" ht="15" thickBot="1" x14ac:dyDescent="0.4">
      <c r="A12" s="1"/>
      <c r="B12" s="48" t="s">
        <v>19</v>
      </c>
      <c r="C12" s="95">
        <v>1</v>
      </c>
      <c r="D12" s="94">
        <v>1</v>
      </c>
      <c r="E12" s="94">
        <v>1</v>
      </c>
      <c r="F12" s="94">
        <v>1</v>
      </c>
      <c r="G12" s="94">
        <v>3</v>
      </c>
      <c r="H12" s="94">
        <v>3</v>
      </c>
      <c r="I12" s="94">
        <v>1</v>
      </c>
      <c r="J12" s="94">
        <v>3</v>
      </c>
      <c r="K12" s="94">
        <v>1</v>
      </c>
      <c r="L12" s="94">
        <v>0.33333299999999999</v>
      </c>
      <c r="M12" s="94">
        <v>0.33333299999999999</v>
      </c>
      <c r="N12" s="94">
        <v>5</v>
      </c>
      <c r="O12" s="94">
        <v>1</v>
      </c>
      <c r="P12" s="94">
        <v>1</v>
      </c>
      <c r="Q12" s="93">
        <v>1</v>
      </c>
      <c r="R12" s="67">
        <f t="shared" si="1"/>
        <v>8.7136940669067062E-2</v>
      </c>
      <c r="S12" s="67">
        <f t="shared" si="2"/>
        <v>4.1322314049586778E-2</v>
      </c>
      <c r="T12" s="67">
        <f t="shared" si="3"/>
        <v>4.9504950495049507E-2</v>
      </c>
      <c r="U12" s="67">
        <f t="shared" si="4"/>
        <v>4.9504950495049507E-2</v>
      </c>
      <c r="V12" s="67">
        <f t="shared" si="5"/>
        <v>9.2783506111170172E-2</v>
      </c>
      <c r="W12" s="67">
        <f t="shared" si="6"/>
        <v>9.2783506111170172E-2</v>
      </c>
      <c r="X12" s="67">
        <f t="shared" si="7"/>
        <v>0.11891282286912384</v>
      </c>
      <c r="Y12" s="67">
        <f t="shared" si="8"/>
        <v>9.2783506111170172E-2</v>
      </c>
      <c r="Z12" s="67">
        <f t="shared" si="9"/>
        <v>6.1728398872123391E-2</v>
      </c>
      <c r="AA12" s="67">
        <f t="shared" si="10"/>
        <v>4.8010940744117513E-2</v>
      </c>
      <c r="AB12" s="67">
        <f t="shared" si="11"/>
        <v>4.7106295084302446E-2</v>
      </c>
      <c r="AC12" s="67">
        <f t="shared" si="12"/>
        <v>6.8493150684931503E-2</v>
      </c>
      <c r="AD12" s="67">
        <f t="shared" si="13"/>
        <v>4.9504950495049507E-2</v>
      </c>
      <c r="AE12" s="67">
        <f t="shared" si="14"/>
        <v>6.1728398872123391E-2</v>
      </c>
      <c r="AF12" s="67">
        <f t="shared" si="15"/>
        <v>4.9504950495049507E-2</v>
      </c>
      <c r="AG12" s="39">
        <f t="shared" si="16"/>
        <v>6.7387305477272286E-2</v>
      </c>
      <c r="AH12" s="1"/>
      <c r="AI12" s="107">
        <f t="shared" si="17"/>
        <v>1.0658182029117405</v>
      </c>
      <c r="AJ12" s="108">
        <f t="shared" si="18"/>
        <v>15.816305391097867</v>
      </c>
    </row>
    <row r="13" spans="1:42" ht="15" thickBot="1" x14ac:dyDescent="0.4">
      <c r="A13" s="1"/>
      <c r="B13" s="50" t="s">
        <v>32</v>
      </c>
      <c r="C13" s="95">
        <v>1</v>
      </c>
      <c r="D13" s="94">
        <v>5</v>
      </c>
      <c r="E13" s="94">
        <v>3</v>
      </c>
      <c r="F13" s="94">
        <v>3</v>
      </c>
      <c r="G13" s="94">
        <v>5</v>
      </c>
      <c r="H13" s="94">
        <v>5</v>
      </c>
      <c r="I13" s="94">
        <v>1</v>
      </c>
      <c r="J13" s="94">
        <v>5</v>
      </c>
      <c r="K13" s="94">
        <v>3</v>
      </c>
      <c r="L13" s="94">
        <v>1</v>
      </c>
      <c r="M13" s="94">
        <v>1</v>
      </c>
      <c r="N13" s="94">
        <v>7</v>
      </c>
      <c r="O13" s="94">
        <v>3</v>
      </c>
      <c r="P13" s="94">
        <v>3</v>
      </c>
      <c r="Q13" s="93">
        <v>3</v>
      </c>
      <c r="R13" s="67">
        <f t="shared" si="1"/>
        <v>8.7136940669067062E-2</v>
      </c>
      <c r="S13" s="67">
        <f t="shared" si="2"/>
        <v>0.20661157024793389</v>
      </c>
      <c r="T13" s="67">
        <f t="shared" si="3"/>
        <v>0.14851485148514851</v>
      </c>
      <c r="U13" s="67">
        <f t="shared" si="4"/>
        <v>0.14851485148514851</v>
      </c>
      <c r="V13" s="67">
        <f t="shared" si="5"/>
        <v>0.15463917685195031</v>
      </c>
      <c r="W13" s="67">
        <f t="shared" si="6"/>
        <v>0.15463917685195031</v>
      </c>
      <c r="X13" s="67">
        <f t="shared" si="7"/>
        <v>0.11891282286912384</v>
      </c>
      <c r="Y13" s="67">
        <f t="shared" si="8"/>
        <v>0.15463917685195031</v>
      </c>
      <c r="Z13" s="67">
        <f t="shared" si="9"/>
        <v>0.18518519661637017</v>
      </c>
      <c r="AA13" s="67">
        <f t="shared" si="10"/>
        <v>0.14403296626531881</v>
      </c>
      <c r="AB13" s="67">
        <f t="shared" si="11"/>
        <v>0.14131902657193393</v>
      </c>
      <c r="AC13" s="67">
        <f t="shared" si="12"/>
        <v>9.5890410958904104E-2</v>
      </c>
      <c r="AD13" s="67">
        <f t="shared" si="13"/>
        <v>0.14851485148514851</v>
      </c>
      <c r="AE13" s="67">
        <f t="shared" si="14"/>
        <v>0.18518519661637017</v>
      </c>
      <c r="AF13" s="67">
        <f t="shared" si="15"/>
        <v>0.14851485148514851</v>
      </c>
      <c r="AG13" s="39">
        <f t="shared" si="16"/>
        <v>0.14815007115409781</v>
      </c>
      <c r="AH13" s="1"/>
      <c r="AI13" s="107">
        <f t="shared" si="17"/>
        <v>2.3400833090582984</v>
      </c>
      <c r="AJ13" s="108">
        <f t="shared" si="18"/>
        <v>15.795357307822474</v>
      </c>
    </row>
    <row r="14" spans="1:42" ht="15" thickBot="1" x14ac:dyDescent="0.4">
      <c r="A14" s="1"/>
      <c r="B14" s="50" t="s">
        <v>26</v>
      </c>
      <c r="C14" s="95">
        <v>1</v>
      </c>
      <c r="D14" s="94">
        <v>3</v>
      </c>
      <c r="E14" s="94">
        <v>3</v>
      </c>
      <c r="F14" s="94">
        <v>3</v>
      </c>
      <c r="G14" s="94">
        <v>5</v>
      </c>
      <c r="H14" s="94">
        <v>5</v>
      </c>
      <c r="I14" s="94">
        <v>1</v>
      </c>
      <c r="J14" s="94">
        <v>5</v>
      </c>
      <c r="K14" s="94">
        <v>3</v>
      </c>
      <c r="L14" s="94">
        <v>1</v>
      </c>
      <c r="M14" s="94">
        <v>1</v>
      </c>
      <c r="N14" s="94">
        <v>7</v>
      </c>
      <c r="O14" s="94">
        <v>3</v>
      </c>
      <c r="P14" s="94">
        <v>3</v>
      </c>
      <c r="Q14" s="93">
        <v>3</v>
      </c>
      <c r="R14" s="67">
        <f t="shared" si="1"/>
        <v>8.7136940669067062E-2</v>
      </c>
      <c r="S14" s="67">
        <f t="shared" si="2"/>
        <v>0.12396694214876033</v>
      </c>
      <c r="T14" s="67">
        <f t="shared" si="3"/>
        <v>0.14851485148514851</v>
      </c>
      <c r="U14" s="67">
        <f t="shared" si="4"/>
        <v>0.14851485148514851</v>
      </c>
      <c r="V14" s="67">
        <f t="shared" si="5"/>
        <v>0.15463917685195031</v>
      </c>
      <c r="W14" s="67">
        <f t="shared" si="6"/>
        <v>0.15463917685195031</v>
      </c>
      <c r="X14" s="67">
        <f t="shared" si="7"/>
        <v>0.11891282286912384</v>
      </c>
      <c r="Y14" s="67">
        <f t="shared" si="8"/>
        <v>0.15463917685195031</v>
      </c>
      <c r="Z14" s="67">
        <f t="shared" si="9"/>
        <v>0.18518519661637017</v>
      </c>
      <c r="AA14" s="67">
        <f t="shared" si="10"/>
        <v>0.14403296626531881</v>
      </c>
      <c r="AB14" s="67">
        <f t="shared" si="11"/>
        <v>0.14131902657193393</v>
      </c>
      <c r="AC14" s="67">
        <f t="shared" si="12"/>
        <v>9.5890410958904104E-2</v>
      </c>
      <c r="AD14" s="67">
        <f t="shared" si="13"/>
        <v>0.14851485148514851</v>
      </c>
      <c r="AE14" s="67">
        <f t="shared" si="14"/>
        <v>0.18518519661637017</v>
      </c>
      <c r="AF14" s="67">
        <f t="shared" si="15"/>
        <v>0.14851485148514851</v>
      </c>
      <c r="AG14" s="39">
        <f t="shared" si="16"/>
        <v>0.14264042928081955</v>
      </c>
      <c r="AH14" s="1"/>
      <c r="AI14" s="107">
        <f t="shared" si="17"/>
        <v>2.2509270897600353</v>
      </c>
      <c r="AJ14" s="108">
        <f t="shared" si="18"/>
        <v>15.78042845993251</v>
      </c>
    </row>
    <row r="15" spans="1:42" ht="15" thickBot="1" x14ac:dyDescent="0.4">
      <c r="A15" s="1"/>
      <c r="B15" s="48" t="s">
        <v>30</v>
      </c>
      <c r="C15" s="95">
        <v>0.14285700000000001</v>
      </c>
      <c r="D15" s="94">
        <v>0.2</v>
      </c>
      <c r="E15" s="94">
        <v>0.2</v>
      </c>
      <c r="F15" s="94">
        <v>0.2</v>
      </c>
      <c r="G15" s="94">
        <v>0.33333299999999999</v>
      </c>
      <c r="H15" s="94">
        <v>0.33333299999999999</v>
      </c>
      <c r="I15" s="94">
        <v>0.14285700000000001</v>
      </c>
      <c r="J15" s="94">
        <v>0.33333299999999999</v>
      </c>
      <c r="K15" s="94">
        <v>0.2</v>
      </c>
      <c r="L15" s="94">
        <v>0.14285700000000001</v>
      </c>
      <c r="M15" s="94">
        <v>0.14285700000000001</v>
      </c>
      <c r="N15" s="94">
        <v>1</v>
      </c>
      <c r="O15" s="94">
        <v>0.2</v>
      </c>
      <c r="P15" s="94">
        <v>0.2</v>
      </c>
      <c r="Q15" s="93">
        <v>0.2</v>
      </c>
      <c r="R15" s="67">
        <f t="shared" si="1"/>
        <v>1.2448121933160914E-2</v>
      </c>
      <c r="S15" s="67">
        <f t="shared" si="2"/>
        <v>8.2644628099173556E-3</v>
      </c>
      <c r="T15" s="67">
        <f t="shared" si="3"/>
        <v>9.9009900990099011E-3</v>
      </c>
      <c r="U15" s="67">
        <f t="shared" si="4"/>
        <v>9.9009900990099011E-3</v>
      </c>
      <c r="V15" s="67">
        <f t="shared" si="5"/>
        <v>1.0309268147518228E-2</v>
      </c>
      <c r="W15" s="67">
        <f t="shared" si="6"/>
        <v>1.0309268147518228E-2</v>
      </c>
      <c r="X15" s="67">
        <f t="shared" si="7"/>
        <v>1.6987529136614426E-2</v>
      </c>
      <c r="Y15" s="67">
        <f t="shared" si="8"/>
        <v>1.0309268147518228E-2</v>
      </c>
      <c r="Z15" s="67">
        <f t="shared" si="9"/>
        <v>1.2345679774424679E-2</v>
      </c>
      <c r="AA15" s="67">
        <f t="shared" si="10"/>
        <v>2.0576117461764652E-2</v>
      </c>
      <c r="AB15" s="67">
        <f t="shared" si="11"/>
        <v>2.0188412178986766E-2</v>
      </c>
      <c r="AC15" s="67">
        <f t="shared" si="12"/>
        <v>1.3698630136986301E-2</v>
      </c>
      <c r="AD15" s="67">
        <f t="shared" si="13"/>
        <v>9.9009900990099011E-3</v>
      </c>
      <c r="AE15" s="67">
        <f t="shared" si="14"/>
        <v>1.2345679774424679E-2</v>
      </c>
      <c r="AF15" s="67">
        <f t="shared" si="15"/>
        <v>9.9009900990099011E-3</v>
      </c>
      <c r="AG15" s="39">
        <f t="shared" si="16"/>
        <v>1.2492426536324939E-2</v>
      </c>
      <c r="AH15" s="1"/>
      <c r="AI15" s="107">
        <f t="shared" si="17"/>
        <v>0.19515295670125943</v>
      </c>
      <c r="AJ15" s="108">
        <f t="shared" si="18"/>
        <v>15.621701367128482</v>
      </c>
    </row>
    <row r="16" spans="1:42" ht="15" thickBot="1" x14ac:dyDescent="0.4">
      <c r="A16" s="1"/>
      <c r="B16" s="50" t="s">
        <v>28</v>
      </c>
      <c r="C16" s="95">
        <v>1</v>
      </c>
      <c r="D16" s="94">
        <v>1</v>
      </c>
      <c r="E16" s="94">
        <v>1</v>
      </c>
      <c r="F16" s="94">
        <v>1</v>
      </c>
      <c r="G16" s="94">
        <v>1</v>
      </c>
      <c r="H16" s="94">
        <v>1</v>
      </c>
      <c r="I16" s="94">
        <v>0.33333299999999999</v>
      </c>
      <c r="J16" s="94">
        <v>1</v>
      </c>
      <c r="K16" s="94">
        <v>1</v>
      </c>
      <c r="L16" s="94">
        <v>0.33333299999999999</v>
      </c>
      <c r="M16" s="94">
        <v>0.33333299999999999</v>
      </c>
      <c r="N16" s="94">
        <v>5</v>
      </c>
      <c r="O16" s="94">
        <v>1</v>
      </c>
      <c r="P16" s="94">
        <v>1</v>
      </c>
      <c r="Q16" s="93">
        <v>1</v>
      </c>
      <c r="R16" s="67">
        <f t="shared" si="1"/>
        <v>8.7136940669067062E-2</v>
      </c>
      <c r="S16" s="67">
        <f t="shared" si="2"/>
        <v>4.1322314049586778E-2</v>
      </c>
      <c r="T16" s="67">
        <f t="shared" si="3"/>
        <v>4.9504950495049507E-2</v>
      </c>
      <c r="U16" s="67">
        <f t="shared" si="4"/>
        <v>4.9504950495049507E-2</v>
      </c>
      <c r="V16" s="67">
        <f t="shared" si="5"/>
        <v>3.092783537039006E-2</v>
      </c>
      <c r="W16" s="67">
        <f t="shared" si="6"/>
        <v>3.092783537039006E-2</v>
      </c>
      <c r="X16" s="67">
        <f t="shared" si="7"/>
        <v>3.9637567985433657E-2</v>
      </c>
      <c r="Y16" s="67">
        <f t="shared" si="8"/>
        <v>3.092783537039006E-2</v>
      </c>
      <c r="Z16" s="67">
        <f t="shared" si="9"/>
        <v>6.1728398872123391E-2</v>
      </c>
      <c r="AA16" s="67">
        <f t="shared" si="10"/>
        <v>4.8010940744117513E-2</v>
      </c>
      <c r="AB16" s="67">
        <f t="shared" si="11"/>
        <v>4.7106295084302446E-2</v>
      </c>
      <c r="AC16" s="67">
        <f t="shared" si="12"/>
        <v>6.8493150684931503E-2</v>
      </c>
      <c r="AD16" s="67">
        <f t="shared" si="13"/>
        <v>4.9504950495049507E-2</v>
      </c>
      <c r="AE16" s="67">
        <f t="shared" si="14"/>
        <v>6.1728398872123391E-2</v>
      </c>
      <c r="AF16" s="67">
        <f t="shared" si="15"/>
        <v>4.9504950495049507E-2</v>
      </c>
      <c r="AG16" s="39">
        <f t="shared" si="16"/>
        <v>4.973115433687026E-2</v>
      </c>
      <c r="AH16" s="1"/>
      <c r="AI16" s="107">
        <f t="shared" si="17"/>
        <v>0.77198955158873372</v>
      </c>
      <c r="AJ16" s="108">
        <f t="shared" si="18"/>
        <v>15.523258244910418</v>
      </c>
    </row>
    <row r="17" spans="1:36" ht="15" thickBot="1" x14ac:dyDescent="0.4">
      <c r="A17" s="1"/>
      <c r="B17" s="50" t="s">
        <v>23</v>
      </c>
      <c r="C17" s="95">
        <v>1</v>
      </c>
      <c r="D17" s="94">
        <v>1</v>
      </c>
      <c r="E17" s="94">
        <v>1</v>
      </c>
      <c r="F17" s="94">
        <v>1</v>
      </c>
      <c r="G17" s="94">
        <v>3</v>
      </c>
      <c r="H17" s="94">
        <v>3</v>
      </c>
      <c r="I17" s="94">
        <v>1</v>
      </c>
      <c r="J17" s="94">
        <v>3</v>
      </c>
      <c r="K17" s="94">
        <v>1</v>
      </c>
      <c r="L17" s="94">
        <v>0.33333299999999999</v>
      </c>
      <c r="M17" s="94">
        <v>0.33333299999999999</v>
      </c>
      <c r="N17" s="94">
        <v>5</v>
      </c>
      <c r="O17" s="94">
        <v>1</v>
      </c>
      <c r="P17" s="94">
        <v>1</v>
      </c>
      <c r="Q17" s="93">
        <v>1</v>
      </c>
      <c r="R17" s="67">
        <f t="shared" si="1"/>
        <v>8.7136940669067062E-2</v>
      </c>
      <c r="S17" s="67">
        <f t="shared" si="2"/>
        <v>4.1322314049586778E-2</v>
      </c>
      <c r="T17" s="67">
        <f t="shared" si="3"/>
        <v>4.9504950495049507E-2</v>
      </c>
      <c r="U17" s="67">
        <f t="shared" si="4"/>
        <v>4.9504950495049507E-2</v>
      </c>
      <c r="V17" s="67">
        <f t="shared" si="5"/>
        <v>9.2783506111170172E-2</v>
      </c>
      <c r="W17" s="67">
        <f t="shared" si="6"/>
        <v>9.2783506111170172E-2</v>
      </c>
      <c r="X17" s="67">
        <f t="shared" si="7"/>
        <v>0.11891282286912384</v>
      </c>
      <c r="Y17" s="67">
        <f t="shared" si="8"/>
        <v>9.2783506111170172E-2</v>
      </c>
      <c r="Z17" s="67">
        <f t="shared" si="9"/>
        <v>6.1728398872123391E-2</v>
      </c>
      <c r="AA17" s="67">
        <f t="shared" si="10"/>
        <v>4.8010940744117513E-2</v>
      </c>
      <c r="AB17" s="67">
        <f t="shared" si="11"/>
        <v>4.7106295084302446E-2</v>
      </c>
      <c r="AC17" s="67">
        <f t="shared" si="12"/>
        <v>6.8493150684931503E-2</v>
      </c>
      <c r="AD17" s="67">
        <f t="shared" si="13"/>
        <v>4.9504950495049507E-2</v>
      </c>
      <c r="AE17" s="67">
        <f t="shared" si="14"/>
        <v>6.1728398872123391E-2</v>
      </c>
      <c r="AF17" s="67">
        <f t="shared" si="15"/>
        <v>4.9504950495049507E-2</v>
      </c>
      <c r="AG17" s="39">
        <f t="shared" si="16"/>
        <v>6.7387305477272286E-2</v>
      </c>
      <c r="AH17" s="1"/>
      <c r="AI17" s="107">
        <f t="shared" si="17"/>
        <v>1.0658182029117405</v>
      </c>
      <c r="AJ17" s="108">
        <f t="shared" si="18"/>
        <v>15.816305391097867</v>
      </c>
    </row>
    <row r="18" spans="1:36" ht="15" thickBot="1" x14ac:dyDescent="0.4">
      <c r="A18" s="1"/>
      <c r="B18" s="48" t="s">
        <v>21</v>
      </c>
      <c r="C18" s="92">
        <v>1</v>
      </c>
      <c r="D18" s="91">
        <v>1</v>
      </c>
      <c r="E18" s="91">
        <v>1</v>
      </c>
      <c r="F18" s="91">
        <v>1</v>
      </c>
      <c r="G18" s="91">
        <v>1</v>
      </c>
      <c r="H18" s="91">
        <v>1</v>
      </c>
      <c r="I18" s="91">
        <v>0.33333299999999999</v>
      </c>
      <c r="J18" s="91">
        <v>1</v>
      </c>
      <c r="K18" s="91">
        <v>1</v>
      </c>
      <c r="L18" s="91">
        <v>0.33333299999999999</v>
      </c>
      <c r="M18" s="91">
        <v>0.33333299999999999</v>
      </c>
      <c r="N18" s="91">
        <v>5</v>
      </c>
      <c r="O18" s="91">
        <v>1</v>
      </c>
      <c r="P18" s="91">
        <v>1</v>
      </c>
      <c r="Q18" s="90">
        <v>1</v>
      </c>
      <c r="R18" s="67">
        <f t="shared" si="1"/>
        <v>8.7136940669067062E-2</v>
      </c>
      <c r="S18" s="67">
        <f t="shared" si="2"/>
        <v>4.1322314049586778E-2</v>
      </c>
      <c r="T18" s="67">
        <f t="shared" si="3"/>
        <v>4.9504950495049507E-2</v>
      </c>
      <c r="U18" s="67">
        <f t="shared" si="4"/>
        <v>4.9504950495049507E-2</v>
      </c>
      <c r="V18" s="67">
        <f t="shared" si="5"/>
        <v>3.092783537039006E-2</v>
      </c>
      <c r="W18" s="67">
        <f t="shared" si="6"/>
        <v>3.092783537039006E-2</v>
      </c>
      <c r="X18" s="67">
        <f t="shared" si="7"/>
        <v>3.9637567985433657E-2</v>
      </c>
      <c r="Y18" s="67">
        <f t="shared" si="8"/>
        <v>3.092783537039006E-2</v>
      </c>
      <c r="Z18" s="67">
        <f t="shared" si="9"/>
        <v>6.1728398872123391E-2</v>
      </c>
      <c r="AA18" s="67">
        <f t="shared" si="10"/>
        <v>4.8010940744117513E-2</v>
      </c>
      <c r="AB18" s="67">
        <f t="shared" si="11"/>
        <v>4.7106295084302446E-2</v>
      </c>
      <c r="AC18" s="67">
        <f t="shared" si="12"/>
        <v>6.8493150684931503E-2</v>
      </c>
      <c r="AD18" s="67">
        <f t="shared" si="13"/>
        <v>4.9504950495049507E-2</v>
      </c>
      <c r="AE18" s="67">
        <f t="shared" si="14"/>
        <v>6.1728398872123391E-2</v>
      </c>
      <c r="AF18" s="67">
        <f t="shared" si="15"/>
        <v>4.9504950495049507E-2</v>
      </c>
      <c r="AG18" s="34">
        <f t="shared" si="16"/>
        <v>4.973115433687026E-2</v>
      </c>
      <c r="AH18" s="1"/>
      <c r="AI18" s="107">
        <f t="shared" si="17"/>
        <v>0.77198955158873372</v>
      </c>
      <c r="AJ18" s="108">
        <f t="shared" si="18"/>
        <v>15.523258244910418</v>
      </c>
    </row>
    <row r="19" spans="1:36" ht="14.5" thickBot="1" x14ac:dyDescent="0.35">
      <c r="A19" s="1"/>
      <c r="B19" s="23" t="s">
        <v>7</v>
      </c>
      <c r="C19" s="62">
        <f>SUM(C4:C18)</f>
        <v>11.476189</v>
      </c>
      <c r="D19" s="62">
        <f t="shared" ref="D19:Q19" si="19">SUM(D4:D18)</f>
        <v>24.2</v>
      </c>
      <c r="E19" s="62">
        <f t="shared" si="19"/>
        <v>20.2</v>
      </c>
      <c r="F19" s="62">
        <f t="shared" si="19"/>
        <v>20.2</v>
      </c>
      <c r="G19" s="62">
        <f t="shared" si="19"/>
        <v>32.333332999999996</v>
      </c>
      <c r="H19" s="62">
        <f t="shared" si="19"/>
        <v>32.333332999999996</v>
      </c>
      <c r="I19" s="62">
        <f t="shared" si="19"/>
        <v>8.4095219999999991</v>
      </c>
      <c r="J19" s="62">
        <f t="shared" si="19"/>
        <v>32.333332999999996</v>
      </c>
      <c r="K19" s="62">
        <f t="shared" si="19"/>
        <v>16.199998999999998</v>
      </c>
      <c r="L19" s="62">
        <f t="shared" si="19"/>
        <v>6.9428549999999998</v>
      </c>
      <c r="M19" s="62">
        <f t="shared" si="19"/>
        <v>7.0761880000000001</v>
      </c>
      <c r="N19" s="62">
        <f t="shared" si="19"/>
        <v>73</v>
      </c>
      <c r="O19" s="62">
        <f t="shared" si="19"/>
        <v>20.2</v>
      </c>
      <c r="P19" s="62">
        <f t="shared" si="19"/>
        <v>16.199998999999998</v>
      </c>
      <c r="Q19" s="62">
        <f t="shared" si="19"/>
        <v>20.2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6" ht="14.5" thickBot="1" x14ac:dyDescent="0.35">
      <c r="B20" s="130" t="s">
        <v>9</v>
      </c>
      <c r="C20" s="131">
        <f>AG4</f>
        <v>8.7405748502737551E-2</v>
      </c>
      <c r="D20" s="131">
        <f>AG5</f>
        <v>4.4578109649131691E-2</v>
      </c>
      <c r="E20" s="131">
        <f>AG6</f>
        <v>4.973115433687026E-2</v>
      </c>
      <c r="F20" s="131">
        <f>AG7</f>
        <v>4.973115433687026E-2</v>
      </c>
      <c r="G20" s="131">
        <f>AG8</f>
        <v>3.4951487886647627E-2</v>
      </c>
      <c r="H20" s="131">
        <f>AG9</f>
        <v>3.4951487886647627E-2</v>
      </c>
      <c r="I20" s="131">
        <f>AG10</f>
        <v>0.12617952291491996</v>
      </c>
      <c r="J20" s="131">
        <f>AG11</f>
        <v>3.4951487886647627E-2</v>
      </c>
      <c r="K20" s="131">
        <f>AG12</f>
        <v>6.7387305477272286E-2</v>
      </c>
      <c r="L20" s="131">
        <f>AG13</f>
        <v>0.14815007115409781</v>
      </c>
      <c r="M20" s="131">
        <f>AG14</f>
        <v>0.14264042928081955</v>
      </c>
      <c r="N20" s="131">
        <f>AG15</f>
        <v>1.2492426536324939E-2</v>
      </c>
      <c r="O20" s="131">
        <f>AG16</f>
        <v>4.973115433687026E-2</v>
      </c>
      <c r="P20" s="131">
        <f>AG17</f>
        <v>6.7387305477272286E-2</v>
      </c>
      <c r="Q20" s="132">
        <f>AG18</f>
        <v>4.973115433687026E-2</v>
      </c>
    </row>
  </sheetData>
  <mergeCells count="2">
    <mergeCell ref="B2:AG2"/>
    <mergeCell ref="R3:AF3"/>
  </mergeCells>
  <conditionalFormatting sqref="AP4">
    <cfRule type="cellIs" dxfId="5" priority="1" operator="greaterThan">
      <formula>0.1</formula>
    </cfRule>
    <cfRule type="cellIs" dxfId="4" priority="2" operator="lessThan">
      <formula>0.1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BEE9-371A-4882-9950-D4494C816156}">
  <dimension ref="A1:AP22"/>
  <sheetViews>
    <sheetView topLeftCell="Y3" zoomScale="89" zoomScaleNormal="85" workbookViewId="0">
      <selection activeCell="AI3" sqref="AI3:AP18"/>
    </sheetView>
  </sheetViews>
  <sheetFormatPr baseColWidth="10" defaultRowHeight="14" x14ac:dyDescent="0.3"/>
  <cols>
    <col min="1" max="1" width="10.90625" style="44"/>
    <col min="2" max="2" width="25.08984375" style="44" customWidth="1"/>
    <col min="3" max="11" width="10.6328125" style="44" customWidth="1"/>
    <col min="12" max="17" width="10.90625" style="44"/>
    <col min="18" max="32" width="7.81640625" style="44" customWidth="1"/>
    <col min="33" max="16384" width="10.90625" style="44"/>
  </cols>
  <sheetData>
    <row r="1" spans="1:42" ht="14.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2" ht="14.5" thickBot="1" x14ac:dyDescent="0.35">
      <c r="A2" s="1"/>
      <c r="B2" s="187" t="s">
        <v>15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9"/>
      <c r="AH2" s="1"/>
    </row>
    <row r="3" spans="1:42" s="47" customFormat="1" ht="42.5" thickBot="1" x14ac:dyDescent="0.35">
      <c r="A3" s="1"/>
      <c r="B3" s="12" t="s">
        <v>0</v>
      </c>
      <c r="C3" s="45" t="s">
        <v>22</v>
      </c>
      <c r="D3" s="45" t="s">
        <v>29</v>
      </c>
      <c r="E3" s="14" t="s">
        <v>18</v>
      </c>
      <c r="F3" s="46" t="s">
        <v>24</v>
      </c>
      <c r="G3" s="46" t="s">
        <v>31</v>
      </c>
      <c r="H3" s="45" t="s">
        <v>25</v>
      </c>
      <c r="I3" s="45" t="s">
        <v>27</v>
      </c>
      <c r="J3" s="46" t="s">
        <v>20</v>
      </c>
      <c r="K3" s="45" t="s">
        <v>19</v>
      </c>
      <c r="L3" s="46" t="s">
        <v>32</v>
      </c>
      <c r="M3" s="46" t="s">
        <v>26</v>
      </c>
      <c r="N3" s="45" t="s">
        <v>30</v>
      </c>
      <c r="O3" s="46" t="s">
        <v>28</v>
      </c>
      <c r="P3" s="46" t="s">
        <v>23</v>
      </c>
      <c r="Q3" s="45" t="s">
        <v>21</v>
      </c>
      <c r="R3" s="178" t="s">
        <v>8</v>
      </c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79"/>
      <c r="AG3" s="12" t="s">
        <v>12</v>
      </c>
      <c r="AH3" s="1"/>
      <c r="AI3" s="14" t="s">
        <v>43</v>
      </c>
      <c r="AJ3" s="12" t="s">
        <v>41</v>
      </c>
      <c r="AK3" s="12" t="s">
        <v>45</v>
      </c>
      <c r="AL3" s="12" t="s">
        <v>44</v>
      </c>
      <c r="AM3" s="12" t="s">
        <v>46</v>
      </c>
      <c r="AN3" s="1"/>
      <c r="AO3" s="12" t="s">
        <v>42</v>
      </c>
      <c r="AP3" s="39">
        <f>(AK4-AL4)/(AL4-1)</f>
        <v>2.7136256635487958E-2</v>
      </c>
    </row>
    <row r="4" spans="1:42" ht="14.5" thickBot="1" x14ac:dyDescent="0.35">
      <c r="A4" s="1"/>
      <c r="B4" s="48" t="s">
        <v>22</v>
      </c>
      <c r="C4" s="19">
        <v>1</v>
      </c>
      <c r="D4" s="20">
        <v>1</v>
      </c>
      <c r="E4" s="20">
        <v>3</v>
      </c>
      <c r="F4" s="20">
        <v>3</v>
      </c>
      <c r="G4" s="20">
        <v>5</v>
      </c>
      <c r="H4" s="20">
        <v>3</v>
      </c>
      <c r="I4" s="20">
        <v>0.33333299999999999</v>
      </c>
      <c r="J4" s="20">
        <v>3</v>
      </c>
      <c r="K4" s="20">
        <v>1</v>
      </c>
      <c r="L4" s="20">
        <v>0.33333299999999999</v>
      </c>
      <c r="M4" s="20">
        <v>0.33333299999999999</v>
      </c>
      <c r="N4" s="20">
        <v>5</v>
      </c>
      <c r="O4" s="20">
        <v>1</v>
      </c>
      <c r="P4" s="20">
        <v>0.33333299999999999</v>
      </c>
      <c r="Q4" s="15">
        <v>1</v>
      </c>
      <c r="R4" s="36">
        <f>C4/C$19</f>
        <v>5.3380786717493724E-2</v>
      </c>
      <c r="S4" s="36">
        <f t="shared" ref="S4:AF4" si="0">D4/D$19</f>
        <v>5.3380786717493724E-2</v>
      </c>
      <c r="T4" s="36">
        <f t="shared" si="0"/>
        <v>7.5630253371937031E-2</v>
      </c>
      <c r="U4" s="36">
        <f t="shared" si="0"/>
        <v>7.5630253371937031E-2</v>
      </c>
      <c r="V4" s="36">
        <f t="shared" si="0"/>
        <v>7.4626865671641784E-2</v>
      </c>
      <c r="W4" s="36">
        <f t="shared" si="0"/>
        <v>7.5630253371937031E-2</v>
      </c>
      <c r="X4" s="36">
        <f t="shared" si="0"/>
        <v>4.9365268152157922E-2</v>
      </c>
      <c r="Y4" s="36">
        <f t="shared" si="0"/>
        <v>7.5630253371937031E-2</v>
      </c>
      <c r="Z4" s="36">
        <f t="shared" si="0"/>
        <v>5.3380786717493724E-2</v>
      </c>
      <c r="AA4" s="36">
        <f t="shared" si="0"/>
        <v>4.9365268152157922E-2</v>
      </c>
      <c r="AB4" s="36">
        <f t="shared" si="0"/>
        <v>4.9365268152157922E-2</v>
      </c>
      <c r="AC4" s="36">
        <f t="shared" si="0"/>
        <v>7.4626865671641784E-2</v>
      </c>
      <c r="AD4" s="36">
        <f t="shared" si="0"/>
        <v>5.3380786717493724E-2</v>
      </c>
      <c r="AE4" s="36">
        <f t="shared" si="0"/>
        <v>4.9365268152157922E-2</v>
      </c>
      <c r="AF4" s="74">
        <f t="shared" si="0"/>
        <v>5.3380786717493724E-2</v>
      </c>
      <c r="AG4" s="75">
        <f>AVERAGE(R4:AF4)</f>
        <v>6.1075983401808788E-2</v>
      </c>
      <c r="AH4" s="1"/>
      <c r="AI4" s="107">
        <f>SUMPRODUCT(C4:Q4,$C$20:$Q$20)</f>
        <v>0.94518603794889722</v>
      </c>
      <c r="AJ4" s="108">
        <f>AI4/AG4</f>
        <v>15.475576246241909</v>
      </c>
      <c r="AK4" s="109">
        <f>AVERAGE(AJ4:AJ18)</f>
        <v>15.379907592896831</v>
      </c>
      <c r="AL4" s="109">
        <v>15</v>
      </c>
      <c r="AM4" s="108">
        <f>(1.86668*(15-2))/15</f>
        <v>1.6177893333333333</v>
      </c>
      <c r="AN4" s="35"/>
      <c r="AO4" s="103" t="s">
        <v>10</v>
      </c>
      <c r="AP4" s="34">
        <f>AP3/AM4</f>
        <v>1.6773665196305715E-2</v>
      </c>
    </row>
    <row r="5" spans="1:42" ht="14.5" thickBot="1" x14ac:dyDescent="0.35">
      <c r="A5" s="1"/>
      <c r="B5" s="48" t="s">
        <v>29</v>
      </c>
      <c r="C5" s="21">
        <v>1</v>
      </c>
      <c r="D5" s="3">
        <v>1</v>
      </c>
      <c r="E5" s="3">
        <v>3</v>
      </c>
      <c r="F5" s="3">
        <v>3</v>
      </c>
      <c r="G5" s="3">
        <v>5</v>
      </c>
      <c r="H5" s="3">
        <v>3</v>
      </c>
      <c r="I5" s="3">
        <v>0.33333299999999999</v>
      </c>
      <c r="J5" s="3">
        <v>3</v>
      </c>
      <c r="K5" s="3">
        <v>1</v>
      </c>
      <c r="L5" s="3">
        <v>0.33333299999999999</v>
      </c>
      <c r="M5" s="3">
        <v>0.33333299999999999</v>
      </c>
      <c r="N5" s="3">
        <v>5</v>
      </c>
      <c r="O5" s="3">
        <v>1</v>
      </c>
      <c r="P5" s="3">
        <v>0.33333299999999999</v>
      </c>
      <c r="Q5" s="16">
        <v>1</v>
      </c>
      <c r="R5" s="36">
        <f t="shared" ref="R5:R18" si="1">C5/C$19</f>
        <v>5.3380786717493724E-2</v>
      </c>
      <c r="S5" s="36">
        <f t="shared" ref="S5:S18" si="2">D5/D$19</f>
        <v>5.3380786717493724E-2</v>
      </c>
      <c r="T5" s="36">
        <f t="shared" ref="T5:T18" si="3">E5/E$19</f>
        <v>7.5630253371937031E-2</v>
      </c>
      <c r="U5" s="36">
        <f t="shared" ref="U5:U18" si="4">F5/F$19</f>
        <v>7.5630253371937031E-2</v>
      </c>
      <c r="V5" s="36">
        <f t="shared" ref="V5:V18" si="5">G5/G$19</f>
        <v>7.4626865671641784E-2</v>
      </c>
      <c r="W5" s="36">
        <f t="shared" ref="W5:W18" si="6">H5/H$19</f>
        <v>7.5630253371937031E-2</v>
      </c>
      <c r="X5" s="36">
        <f t="shared" ref="X5:X18" si="7">I5/I$19</f>
        <v>4.9365268152157922E-2</v>
      </c>
      <c r="Y5" s="36">
        <f t="shared" ref="Y5:Y18" si="8">J5/J$19</f>
        <v>7.5630253371937031E-2</v>
      </c>
      <c r="Z5" s="36">
        <f t="shared" ref="Z5:Z18" si="9">K5/K$19</f>
        <v>5.3380786717493724E-2</v>
      </c>
      <c r="AA5" s="36">
        <f t="shared" ref="AA5:AA18" si="10">L5/L$19</f>
        <v>4.9365268152157922E-2</v>
      </c>
      <c r="AB5" s="36">
        <f t="shared" ref="AB5:AB18" si="11">M5/M$19</f>
        <v>4.9365268152157922E-2</v>
      </c>
      <c r="AC5" s="36">
        <f t="shared" ref="AC5:AC18" si="12">N5/N$19</f>
        <v>7.4626865671641784E-2</v>
      </c>
      <c r="AD5" s="36">
        <f t="shared" ref="AD5:AD18" si="13">O5/O$19</f>
        <v>5.3380786717493724E-2</v>
      </c>
      <c r="AE5" s="36">
        <f t="shared" ref="AE5:AE18" si="14">P5/P$19</f>
        <v>4.9365268152157922E-2</v>
      </c>
      <c r="AF5" s="74">
        <f t="shared" ref="AF5:AF18" si="15">Q5/Q$19</f>
        <v>5.3380786717493724E-2</v>
      </c>
      <c r="AG5" s="75">
        <f t="shared" ref="AG5:AG18" si="16">AVERAGE(R5:AF5)</f>
        <v>6.1075983401808788E-2</v>
      </c>
      <c r="AH5" s="1"/>
      <c r="AI5" s="107">
        <f t="shared" ref="AI5:AI18" si="17">SUMPRODUCT(C5:Q5,$C$20:$Q$20)</f>
        <v>0.94518603794889722</v>
      </c>
      <c r="AJ5" s="108">
        <f>AI5/AG5</f>
        <v>15.475576246241909</v>
      </c>
      <c r="AK5" s="35"/>
      <c r="AL5" s="35"/>
      <c r="AM5" s="35"/>
      <c r="AN5" s="35"/>
      <c r="AO5" s="35"/>
      <c r="AP5" s="35"/>
    </row>
    <row r="6" spans="1:42" ht="14.5" thickBot="1" x14ac:dyDescent="0.35">
      <c r="A6" s="1"/>
      <c r="B6" s="49" t="s">
        <v>18</v>
      </c>
      <c r="C6" s="21">
        <v>0.33333299999999999</v>
      </c>
      <c r="D6" s="3">
        <v>0.33333299999999999</v>
      </c>
      <c r="E6" s="3">
        <v>1</v>
      </c>
      <c r="F6" s="3">
        <v>1</v>
      </c>
      <c r="G6" s="3">
        <v>3</v>
      </c>
      <c r="H6" s="3">
        <v>1</v>
      </c>
      <c r="I6" s="3">
        <v>0.2</v>
      </c>
      <c r="J6" s="3">
        <v>1</v>
      </c>
      <c r="K6" s="3">
        <v>0.33333299999999999</v>
      </c>
      <c r="L6" s="3">
        <v>0.2</v>
      </c>
      <c r="M6" s="3">
        <v>0.2</v>
      </c>
      <c r="N6" s="3">
        <v>3</v>
      </c>
      <c r="O6" s="3">
        <v>0.33333299999999999</v>
      </c>
      <c r="P6" s="3">
        <v>0.2</v>
      </c>
      <c r="Q6" s="16">
        <v>0.33333299999999999</v>
      </c>
      <c r="R6" s="36">
        <f t="shared" si="1"/>
        <v>1.7793577778902336E-2</v>
      </c>
      <c r="S6" s="36">
        <f t="shared" si="2"/>
        <v>1.7793577778902336E-2</v>
      </c>
      <c r="T6" s="36">
        <f t="shared" si="3"/>
        <v>2.5210084457312345E-2</v>
      </c>
      <c r="U6" s="36">
        <f t="shared" si="4"/>
        <v>2.5210084457312345E-2</v>
      </c>
      <c r="V6" s="36">
        <f t="shared" si="5"/>
        <v>4.4776119402985072E-2</v>
      </c>
      <c r="W6" s="36">
        <f t="shared" si="6"/>
        <v>2.5210084457312345E-2</v>
      </c>
      <c r="X6" s="36">
        <f t="shared" si="7"/>
        <v>2.9619190510485269E-2</v>
      </c>
      <c r="Y6" s="36">
        <f t="shared" si="8"/>
        <v>2.5210084457312345E-2</v>
      </c>
      <c r="Z6" s="36">
        <f t="shared" si="9"/>
        <v>1.7793577778902336E-2</v>
      </c>
      <c r="AA6" s="36">
        <f t="shared" si="10"/>
        <v>2.9619190510485269E-2</v>
      </c>
      <c r="AB6" s="36">
        <f t="shared" si="11"/>
        <v>2.9619190510485269E-2</v>
      </c>
      <c r="AC6" s="36">
        <f t="shared" si="12"/>
        <v>4.4776119402985072E-2</v>
      </c>
      <c r="AD6" s="36">
        <f t="shared" si="13"/>
        <v>1.7793577778902336E-2</v>
      </c>
      <c r="AE6" s="36">
        <f t="shared" si="14"/>
        <v>2.9619190510485269E-2</v>
      </c>
      <c r="AF6" s="74">
        <f t="shared" si="15"/>
        <v>1.7793577778902336E-2</v>
      </c>
      <c r="AG6" s="75">
        <f t="shared" si="16"/>
        <v>2.652248183811149E-2</v>
      </c>
      <c r="AH6" s="1"/>
      <c r="AI6" s="107">
        <f t="shared" si="17"/>
        <v>0.40080504689179874</v>
      </c>
      <c r="AJ6" s="108">
        <f t="shared" ref="AJ6:AJ18" si="18">AI6/AG6</f>
        <v>15.111898250632857</v>
      </c>
      <c r="AK6" s="101"/>
      <c r="AL6" s="101"/>
      <c r="AM6" s="101"/>
      <c r="AN6" s="35"/>
      <c r="AO6" s="1"/>
      <c r="AP6" s="35"/>
    </row>
    <row r="7" spans="1:42" ht="14.5" thickBot="1" x14ac:dyDescent="0.35">
      <c r="A7" s="1"/>
      <c r="B7" s="50" t="s">
        <v>24</v>
      </c>
      <c r="C7" s="21">
        <v>0.33333299999999999</v>
      </c>
      <c r="D7" s="3">
        <v>0.33333299999999999</v>
      </c>
      <c r="E7" s="3">
        <v>1</v>
      </c>
      <c r="F7" s="3">
        <v>1</v>
      </c>
      <c r="G7" s="3">
        <v>3</v>
      </c>
      <c r="H7" s="3">
        <v>1</v>
      </c>
      <c r="I7" s="3">
        <v>0.2</v>
      </c>
      <c r="J7" s="3">
        <v>1</v>
      </c>
      <c r="K7" s="3">
        <v>0.33333299999999999</v>
      </c>
      <c r="L7" s="3">
        <v>0.2</v>
      </c>
      <c r="M7" s="3">
        <v>0.2</v>
      </c>
      <c r="N7" s="3">
        <v>3</v>
      </c>
      <c r="O7" s="3">
        <v>0.33333299999999999</v>
      </c>
      <c r="P7" s="3">
        <v>0.2</v>
      </c>
      <c r="Q7" s="16">
        <v>0.33333299999999999</v>
      </c>
      <c r="R7" s="36">
        <f t="shared" si="1"/>
        <v>1.7793577778902336E-2</v>
      </c>
      <c r="S7" s="36">
        <f t="shared" si="2"/>
        <v>1.7793577778902336E-2</v>
      </c>
      <c r="T7" s="36">
        <f t="shared" si="3"/>
        <v>2.5210084457312345E-2</v>
      </c>
      <c r="U7" s="36">
        <f t="shared" si="4"/>
        <v>2.5210084457312345E-2</v>
      </c>
      <c r="V7" s="36">
        <f t="shared" si="5"/>
        <v>4.4776119402985072E-2</v>
      </c>
      <c r="W7" s="36">
        <f t="shared" si="6"/>
        <v>2.5210084457312345E-2</v>
      </c>
      <c r="X7" s="36">
        <f t="shared" si="7"/>
        <v>2.9619190510485269E-2</v>
      </c>
      <c r="Y7" s="36">
        <f t="shared" si="8"/>
        <v>2.5210084457312345E-2</v>
      </c>
      <c r="Z7" s="36">
        <f t="shared" si="9"/>
        <v>1.7793577778902336E-2</v>
      </c>
      <c r="AA7" s="36">
        <f t="shared" si="10"/>
        <v>2.9619190510485269E-2</v>
      </c>
      <c r="AB7" s="36">
        <f t="shared" si="11"/>
        <v>2.9619190510485269E-2</v>
      </c>
      <c r="AC7" s="36">
        <f t="shared" si="12"/>
        <v>4.4776119402985072E-2</v>
      </c>
      <c r="AD7" s="36">
        <f t="shared" si="13"/>
        <v>1.7793577778902336E-2</v>
      </c>
      <c r="AE7" s="36">
        <f t="shared" si="14"/>
        <v>2.9619190510485269E-2</v>
      </c>
      <c r="AF7" s="74">
        <f t="shared" si="15"/>
        <v>1.7793577778902336E-2</v>
      </c>
      <c r="AG7" s="75">
        <f t="shared" si="16"/>
        <v>2.652248183811149E-2</v>
      </c>
      <c r="AH7" s="1"/>
      <c r="AI7" s="107">
        <f t="shared" si="17"/>
        <v>0.40080504689179874</v>
      </c>
      <c r="AJ7" s="108">
        <f t="shared" si="18"/>
        <v>15.111898250632857</v>
      </c>
      <c r="AK7" s="101"/>
      <c r="AL7" s="101"/>
      <c r="AM7" s="101"/>
      <c r="AN7" s="1"/>
      <c r="AO7" s="1"/>
      <c r="AP7" s="35"/>
    </row>
    <row r="8" spans="1:42" ht="14.5" thickBot="1" x14ac:dyDescent="0.35">
      <c r="A8" s="1"/>
      <c r="B8" s="50" t="s">
        <v>31</v>
      </c>
      <c r="C8" s="21">
        <v>0.2</v>
      </c>
      <c r="D8" s="3">
        <v>0.2</v>
      </c>
      <c r="E8" s="3">
        <v>0.33333299999999999</v>
      </c>
      <c r="F8" s="3">
        <v>0.33333299999999999</v>
      </c>
      <c r="G8" s="3">
        <v>1</v>
      </c>
      <c r="H8" s="3">
        <v>0.33333299999999999</v>
      </c>
      <c r="I8" s="3">
        <v>0.14285700000000001</v>
      </c>
      <c r="J8" s="3">
        <v>0.33333299999999999</v>
      </c>
      <c r="K8" s="3">
        <v>0.2</v>
      </c>
      <c r="L8" s="3">
        <v>0.14285700000000001</v>
      </c>
      <c r="M8" s="3">
        <v>0.14285700000000001</v>
      </c>
      <c r="N8" s="3">
        <v>1</v>
      </c>
      <c r="O8" s="3">
        <v>0.2</v>
      </c>
      <c r="P8" s="3">
        <v>0.14285700000000001</v>
      </c>
      <c r="Q8" s="16">
        <v>0.2</v>
      </c>
      <c r="R8" s="36">
        <f t="shared" si="1"/>
        <v>1.0676157343498745E-2</v>
      </c>
      <c r="S8" s="36">
        <f t="shared" si="2"/>
        <v>1.0676157343498745E-2</v>
      </c>
      <c r="T8" s="36">
        <f t="shared" si="3"/>
        <v>8.4033530824092952E-3</v>
      </c>
      <c r="U8" s="36">
        <f t="shared" si="4"/>
        <v>8.4033530824092952E-3</v>
      </c>
      <c r="V8" s="36">
        <f t="shared" si="5"/>
        <v>1.4925373134328358E-2</v>
      </c>
      <c r="W8" s="36">
        <f t="shared" si="6"/>
        <v>8.4033530824092952E-3</v>
      </c>
      <c r="X8" s="36">
        <f t="shared" si="7"/>
        <v>2.115654349378197E-2</v>
      </c>
      <c r="Y8" s="36">
        <f t="shared" si="8"/>
        <v>8.4033530824092952E-3</v>
      </c>
      <c r="Z8" s="36">
        <f t="shared" si="9"/>
        <v>1.0676157343498745E-2</v>
      </c>
      <c r="AA8" s="36">
        <f t="shared" si="10"/>
        <v>2.115654349378197E-2</v>
      </c>
      <c r="AB8" s="36">
        <f t="shared" si="11"/>
        <v>2.115654349378197E-2</v>
      </c>
      <c r="AC8" s="36">
        <f t="shared" si="12"/>
        <v>1.4925373134328358E-2</v>
      </c>
      <c r="AD8" s="36">
        <f t="shared" si="13"/>
        <v>1.0676157343498745E-2</v>
      </c>
      <c r="AE8" s="36">
        <f t="shared" si="14"/>
        <v>2.115654349378197E-2</v>
      </c>
      <c r="AF8" s="74">
        <f t="shared" si="15"/>
        <v>1.0676157343498745E-2</v>
      </c>
      <c r="AG8" s="75">
        <f t="shared" si="16"/>
        <v>1.34314079527277E-2</v>
      </c>
      <c r="AH8" s="1"/>
      <c r="AI8" s="107">
        <f t="shared" si="17"/>
        <v>0.20354018421368206</v>
      </c>
      <c r="AJ8" s="108">
        <f t="shared" si="18"/>
        <v>15.154046763380927</v>
      </c>
      <c r="AK8" s="101"/>
      <c r="AL8" s="101"/>
      <c r="AM8" s="101"/>
      <c r="AN8" s="1"/>
      <c r="AO8" s="35"/>
      <c r="AP8" s="35"/>
    </row>
    <row r="9" spans="1:42" ht="14.5" thickBot="1" x14ac:dyDescent="0.35">
      <c r="A9" s="1"/>
      <c r="B9" s="48" t="s">
        <v>25</v>
      </c>
      <c r="C9" s="21">
        <v>0.33333299999999999</v>
      </c>
      <c r="D9" s="3">
        <v>0.33333299999999999</v>
      </c>
      <c r="E9" s="3">
        <v>1</v>
      </c>
      <c r="F9" s="3">
        <v>1</v>
      </c>
      <c r="G9" s="3">
        <v>3</v>
      </c>
      <c r="H9" s="3">
        <v>1</v>
      </c>
      <c r="I9" s="3">
        <v>0.2</v>
      </c>
      <c r="J9" s="3">
        <v>1</v>
      </c>
      <c r="K9" s="3">
        <v>0.33333299999999999</v>
      </c>
      <c r="L9" s="3">
        <v>0.2</v>
      </c>
      <c r="M9" s="3">
        <v>0.2</v>
      </c>
      <c r="N9" s="3">
        <v>3</v>
      </c>
      <c r="O9" s="3">
        <v>0.33333299999999999</v>
      </c>
      <c r="P9" s="3">
        <v>0.2</v>
      </c>
      <c r="Q9" s="16">
        <v>0.33333299999999999</v>
      </c>
      <c r="R9" s="36">
        <f t="shared" si="1"/>
        <v>1.7793577778902336E-2</v>
      </c>
      <c r="S9" s="36">
        <f t="shared" si="2"/>
        <v>1.7793577778902336E-2</v>
      </c>
      <c r="T9" s="36">
        <f t="shared" si="3"/>
        <v>2.5210084457312345E-2</v>
      </c>
      <c r="U9" s="36">
        <f t="shared" si="4"/>
        <v>2.5210084457312345E-2</v>
      </c>
      <c r="V9" s="36">
        <f t="shared" si="5"/>
        <v>4.4776119402985072E-2</v>
      </c>
      <c r="W9" s="36">
        <f t="shared" si="6"/>
        <v>2.5210084457312345E-2</v>
      </c>
      <c r="X9" s="36">
        <f t="shared" si="7"/>
        <v>2.9619190510485269E-2</v>
      </c>
      <c r="Y9" s="36">
        <f t="shared" si="8"/>
        <v>2.5210084457312345E-2</v>
      </c>
      <c r="Z9" s="36">
        <f t="shared" si="9"/>
        <v>1.7793577778902336E-2</v>
      </c>
      <c r="AA9" s="36">
        <f t="shared" si="10"/>
        <v>2.9619190510485269E-2</v>
      </c>
      <c r="AB9" s="36">
        <f t="shared" si="11"/>
        <v>2.9619190510485269E-2</v>
      </c>
      <c r="AC9" s="36">
        <f t="shared" si="12"/>
        <v>4.4776119402985072E-2</v>
      </c>
      <c r="AD9" s="36">
        <f t="shared" si="13"/>
        <v>1.7793577778902336E-2</v>
      </c>
      <c r="AE9" s="36">
        <f t="shared" si="14"/>
        <v>2.9619190510485269E-2</v>
      </c>
      <c r="AF9" s="74">
        <f t="shared" si="15"/>
        <v>1.7793577778902336E-2</v>
      </c>
      <c r="AG9" s="75">
        <f t="shared" si="16"/>
        <v>2.652248183811149E-2</v>
      </c>
      <c r="AH9" s="1"/>
      <c r="AI9" s="107">
        <f t="shared" si="17"/>
        <v>0.40080504689179874</v>
      </c>
      <c r="AJ9" s="108">
        <f t="shared" si="18"/>
        <v>15.111898250632857</v>
      </c>
    </row>
    <row r="10" spans="1:42" ht="14.5" thickBot="1" x14ac:dyDescent="0.35">
      <c r="A10" s="1"/>
      <c r="B10" s="48" t="s">
        <v>27</v>
      </c>
      <c r="C10" s="21">
        <v>3</v>
      </c>
      <c r="D10" s="3">
        <v>3</v>
      </c>
      <c r="E10" s="3">
        <v>5</v>
      </c>
      <c r="F10" s="3">
        <v>5</v>
      </c>
      <c r="G10" s="3">
        <v>7</v>
      </c>
      <c r="H10" s="3">
        <v>5</v>
      </c>
      <c r="I10" s="3">
        <v>1</v>
      </c>
      <c r="J10" s="3">
        <v>5</v>
      </c>
      <c r="K10" s="3">
        <v>3</v>
      </c>
      <c r="L10" s="3">
        <v>1</v>
      </c>
      <c r="M10" s="3">
        <v>1</v>
      </c>
      <c r="N10" s="3">
        <v>7</v>
      </c>
      <c r="O10" s="3">
        <v>3</v>
      </c>
      <c r="P10" s="3">
        <v>1</v>
      </c>
      <c r="Q10" s="16">
        <v>3</v>
      </c>
      <c r="R10" s="36">
        <f t="shared" si="1"/>
        <v>0.16014236015248118</v>
      </c>
      <c r="S10" s="36">
        <f t="shared" si="2"/>
        <v>0.16014236015248118</v>
      </c>
      <c r="T10" s="36">
        <f t="shared" si="3"/>
        <v>0.12605042228656171</v>
      </c>
      <c r="U10" s="36">
        <f t="shared" si="4"/>
        <v>0.12605042228656171</v>
      </c>
      <c r="V10" s="36">
        <f t="shared" si="5"/>
        <v>0.1044776119402985</v>
      </c>
      <c r="W10" s="36">
        <f t="shared" si="6"/>
        <v>0.12605042228656171</v>
      </c>
      <c r="X10" s="36">
        <f t="shared" si="7"/>
        <v>0.14809595255242633</v>
      </c>
      <c r="Y10" s="36">
        <f t="shared" si="8"/>
        <v>0.12605042228656171</v>
      </c>
      <c r="Z10" s="36">
        <f t="shared" si="9"/>
        <v>0.16014236015248118</v>
      </c>
      <c r="AA10" s="36">
        <f t="shared" si="10"/>
        <v>0.14809595255242633</v>
      </c>
      <c r="AB10" s="36">
        <f t="shared" si="11"/>
        <v>0.14809595255242633</v>
      </c>
      <c r="AC10" s="36">
        <f t="shared" si="12"/>
        <v>0.1044776119402985</v>
      </c>
      <c r="AD10" s="36">
        <f t="shared" si="13"/>
        <v>0.16014236015248118</v>
      </c>
      <c r="AE10" s="36">
        <f t="shared" si="14"/>
        <v>0.14809595255242633</v>
      </c>
      <c r="AF10" s="74">
        <f t="shared" si="15"/>
        <v>0.16014236015248118</v>
      </c>
      <c r="AG10" s="75">
        <f t="shared" si="16"/>
        <v>0.14041683493326368</v>
      </c>
      <c r="AH10" s="1"/>
      <c r="AI10" s="107">
        <f t="shared" si="17"/>
        <v>2.1962964388606041</v>
      </c>
      <c r="AJ10" s="108">
        <f t="shared" si="18"/>
        <v>15.64126153323741</v>
      </c>
    </row>
    <row r="11" spans="1:42" ht="14.5" thickBot="1" x14ac:dyDescent="0.35">
      <c r="A11" s="1"/>
      <c r="B11" s="50" t="s">
        <v>20</v>
      </c>
      <c r="C11" s="21">
        <v>0.33333299999999999</v>
      </c>
      <c r="D11" s="3">
        <v>0.33333299999999999</v>
      </c>
      <c r="E11" s="3">
        <v>1</v>
      </c>
      <c r="F11" s="3">
        <v>1</v>
      </c>
      <c r="G11" s="3">
        <v>3</v>
      </c>
      <c r="H11" s="3">
        <v>1</v>
      </c>
      <c r="I11" s="3">
        <v>0.2</v>
      </c>
      <c r="J11" s="3">
        <v>1</v>
      </c>
      <c r="K11" s="3">
        <v>0.33333299999999999</v>
      </c>
      <c r="L11" s="3">
        <v>0.2</v>
      </c>
      <c r="M11" s="3">
        <v>0.2</v>
      </c>
      <c r="N11" s="3">
        <v>3</v>
      </c>
      <c r="O11" s="3">
        <v>0.33333299999999999</v>
      </c>
      <c r="P11" s="3">
        <v>0.2</v>
      </c>
      <c r="Q11" s="16">
        <v>0.33333299999999999</v>
      </c>
      <c r="R11" s="36">
        <f t="shared" si="1"/>
        <v>1.7793577778902336E-2</v>
      </c>
      <c r="S11" s="36">
        <f t="shared" si="2"/>
        <v>1.7793577778902336E-2</v>
      </c>
      <c r="T11" s="36">
        <f t="shared" si="3"/>
        <v>2.5210084457312345E-2</v>
      </c>
      <c r="U11" s="36">
        <f t="shared" si="4"/>
        <v>2.5210084457312345E-2</v>
      </c>
      <c r="V11" s="36">
        <f t="shared" si="5"/>
        <v>4.4776119402985072E-2</v>
      </c>
      <c r="W11" s="36">
        <f t="shared" si="6"/>
        <v>2.5210084457312345E-2</v>
      </c>
      <c r="X11" s="36">
        <f t="shared" si="7"/>
        <v>2.9619190510485269E-2</v>
      </c>
      <c r="Y11" s="36">
        <f t="shared" si="8"/>
        <v>2.5210084457312345E-2</v>
      </c>
      <c r="Z11" s="36">
        <f t="shared" si="9"/>
        <v>1.7793577778902336E-2</v>
      </c>
      <c r="AA11" s="36">
        <f t="shared" si="10"/>
        <v>2.9619190510485269E-2</v>
      </c>
      <c r="AB11" s="36">
        <f t="shared" si="11"/>
        <v>2.9619190510485269E-2</v>
      </c>
      <c r="AC11" s="36">
        <f t="shared" si="12"/>
        <v>4.4776119402985072E-2</v>
      </c>
      <c r="AD11" s="36">
        <f t="shared" si="13"/>
        <v>1.7793577778902336E-2</v>
      </c>
      <c r="AE11" s="36">
        <f t="shared" si="14"/>
        <v>2.9619190510485269E-2</v>
      </c>
      <c r="AF11" s="74">
        <f t="shared" si="15"/>
        <v>1.7793577778902336E-2</v>
      </c>
      <c r="AG11" s="75">
        <f t="shared" si="16"/>
        <v>2.652248183811149E-2</v>
      </c>
      <c r="AH11" s="1"/>
      <c r="AI11" s="107">
        <f t="shared" si="17"/>
        <v>0.40080504689179874</v>
      </c>
      <c r="AJ11" s="108">
        <f t="shared" si="18"/>
        <v>15.111898250632857</v>
      </c>
    </row>
    <row r="12" spans="1:42" ht="14.5" thickBot="1" x14ac:dyDescent="0.35">
      <c r="A12" s="1"/>
      <c r="B12" s="48" t="s">
        <v>19</v>
      </c>
      <c r="C12" s="21">
        <v>1</v>
      </c>
      <c r="D12" s="3">
        <v>1</v>
      </c>
      <c r="E12" s="3">
        <v>3</v>
      </c>
      <c r="F12" s="3">
        <v>3</v>
      </c>
      <c r="G12" s="3">
        <v>5</v>
      </c>
      <c r="H12" s="3">
        <v>3</v>
      </c>
      <c r="I12" s="3">
        <v>0.33333299999999999</v>
      </c>
      <c r="J12" s="3">
        <v>3</v>
      </c>
      <c r="K12" s="3">
        <v>1</v>
      </c>
      <c r="L12" s="3">
        <v>0.33333299999999999</v>
      </c>
      <c r="M12" s="3">
        <v>0.33333299999999999</v>
      </c>
      <c r="N12" s="3">
        <v>5</v>
      </c>
      <c r="O12" s="3">
        <v>1</v>
      </c>
      <c r="P12" s="3">
        <v>0.33333299999999999</v>
      </c>
      <c r="Q12" s="16">
        <v>1</v>
      </c>
      <c r="R12" s="36">
        <f t="shared" si="1"/>
        <v>5.3380786717493724E-2</v>
      </c>
      <c r="S12" s="36">
        <f t="shared" si="2"/>
        <v>5.3380786717493724E-2</v>
      </c>
      <c r="T12" s="36">
        <f t="shared" si="3"/>
        <v>7.5630253371937031E-2</v>
      </c>
      <c r="U12" s="36">
        <f t="shared" si="4"/>
        <v>7.5630253371937031E-2</v>
      </c>
      <c r="V12" s="36">
        <f t="shared" si="5"/>
        <v>7.4626865671641784E-2</v>
      </c>
      <c r="W12" s="36">
        <f t="shared" si="6"/>
        <v>7.5630253371937031E-2</v>
      </c>
      <c r="X12" s="36">
        <f t="shared" si="7"/>
        <v>4.9365268152157922E-2</v>
      </c>
      <c r="Y12" s="36">
        <f t="shared" si="8"/>
        <v>7.5630253371937031E-2</v>
      </c>
      <c r="Z12" s="36">
        <f t="shared" si="9"/>
        <v>5.3380786717493724E-2</v>
      </c>
      <c r="AA12" s="36">
        <f t="shared" si="10"/>
        <v>4.9365268152157922E-2</v>
      </c>
      <c r="AB12" s="36">
        <f t="shared" si="11"/>
        <v>4.9365268152157922E-2</v>
      </c>
      <c r="AC12" s="36">
        <f t="shared" si="12"/>
        <v>7.4626865671641784E-2</v>
      </c>
      <c r="AD12" s="36">
        <f t="shared" si="13"/>
        <v>5.3380786717493724E-2</v>
      </c>
      <c r="AE12" s="36">
        <f t="shared" si="14"/>
        <v>4.9365268152157922E-2</v>
      </c>
      <c r="AF12" s="74">
        <f t="shared" si="15"/>
        <v>5.3380786717493724E-2</v>
      </c>
      <c r="AG12" s="75">
        <f t="shared" si="16"/>
        <v>6.1075983401808788E-2</v>
      </c>
      <c r="AH12" s="1"/>
      <c r="AI12" s="107">
        <f t="shared" si="17"/>
        <v>0.94518603794889722</v>
      </c>
      <c r="AJ12" s="108">
        <f t="shared" si="18"/>
        <v>15.475576246241909</v>
      </c>
    </row>
    <row r="13" spans="1:42" ht="14.5" thickBot="1" x14ac:dyDescent="0.35">
      <c r="A13" s="1"/>
      <c r="B13" s="50" t="s">
        <v>32</v>
      </c>
      <c r="C13" s="21">
        <v>3</v>
      </c>
      <c r="D13" s="3">
        <v>3</v>
      </c>
      <c r="E13" s="3">
        <v>5</v>
      </c>
      <c r="F13" s="3">
        <v>5</v>
      </c>
      <c r="G13" s="3">
        <v>7</v>
      </c>
      <c r="H13" s="3">
        <v>5</v>
      </c>
      <c r="I13" s="3">
        <v>1</v>
      </c>
      <c r="J13" s="3">
        <v>5</v>
      </c>
      <c r="K13" s="3">
        <v>3</v>
      </c>
      <c r="L13" s="3">
        <v>1</v>
      </c>
      <c r="M13" s="3">
        <v>1</v>
      </c>
      <c r="N13" s="3">
        <v>7</v>
      </c>
      <c r="O13" s="3">
        <v>3</v>
      </c>
      <c r="P13" s="3">
        <v>1</v>
      </c>
      <c r="Q13" s="16">
        <v>3</v>
      </c>
      <c r="R13" s="36">
        <f t="shared" si="1"/>
        <v>0.16014236015248118</v>
      </c>
      <c r="S13" s="36">
        <f t="shared" si="2"/>
        <v>0.16014236015248118</v>
      </c>
      <c r="T13" s="36">
        <f t="shared" si="3"/>
        <v>0.12605042228656171</v>
      </c>
      <c r="U13" s="36">
        <f t="shared" si="4"/>
        <v>0.12605042228656171</v>
      </c>
      <c r="V13" s="36">
        <f t="shared" si="5"/>
        <v>0.1044776119402985</v>
      </c>
      <c r="W13" s="36">
        <f t="shared" si="6"/>
        <v>0.12605042228656171</v>
      </c>
      <c r="X13" s="36">
        <f t="shared" si="7"/>
        <v>0.14809595255242633</v>
      </c>
      <c r="Y13" s="36">
        <f t="shared" si="8"/>
        <v>0.12605042228656171</v>
      </c>
      <c r="Z13" s="36">
        <f t="shared" si="9"/>
        <v>0.16014236015248118</v>
      </c>
      <c r="AA13" s="36">
        <f t="shared" si="10"/>
        <v>0.14809595255242633</v>
      </c>
      <c r="AB13" s="36">
        <f t="shared" si="11"/>
        <v>0.14809595255242633</v>
      </c>
      <c r="AC13" s="36">
        <f t="shared" si="12"/>
        <v>0.1044776119402985</v>
      </c>
      <c r="AD13" s="36">
        <f t="shared" si="13"/>
        <v>0.16014236015248118</v>
      </c>
      <c r="AE13" s="36">
        <f t="shared" si="14"/>
        <v>0.14809595255242633</v>
      </c>
      <c r="AF13" s="74">
        <f t="shared" si="15"/>
        <v>0.16014236015248118</v>
      </c>
      <c r="AG13" s="75">
        <f t="shared" si="16"/>
        <v>0.14041683493326368</v>
      </c>
      <c r="AH13" s="1"/>
      <c r="AI13" s="107">
        <f t="shared" si="17"/>
        <v>2.1962964388606041</v>
      </c>
      <c r="AJ13" s="108">
        <f t="shared" si="18"/>
        <v>15.64126153323741</v>
      </c>
    </row>
    <row r="14" spans="1:42" ht="14.5" thickBot="1" x14ac:dyDescent="0.35">
      <c r="A14" s="1"/>
      <c r="B14" s="50" t="s">
        <v>26</v>
      </c>
      <c r="C14" s="21">
        <v>3</v>
      </c>
      <c r="D14" s="3">
        <v>3</v>
      </c>
      <c r="E14" s="3">
        <v>5</v>
      </c>
      <c r="F14" s="3">
        <v>5</v>
      </c>
      <c r="G14" s="3">
        <v>7</v>
      </c>
      <c r="H14" s="3">
        <v>5</v>
      </c>
      <c r="I14" s="3">
        <v>1</v>
      </c>
      <c r="J14" s="3">
        <v>5</v>
      </c>
      <c r="K14" s="3">
        <v>3</v>
      </c>
      <c r="L14" s="3">
        <v>1</v>
      </c>
      <c r="M14" s="3">
        <v>1</v>
      </c>
      <c r="N14" s="3">
        <v>7</v>
      </c>
      <c r="O14" s="3">
        <v>3</v>
      </c>
      <c r="P14" s="3">
        <v>1</v>
      </c>
      <c r="Q14" s="16">
        <v>3</v>
      </c>
      <c r="R14" s="36">
        <f t="shared" si="1"/>
        <v>0.16014236015248118</v>
      </c>
      <c r="S14" s="36">
        <f t="shared" si="2"/>
        <v>0.16014236015248118</v>
      </c>
      <c r="T14" s="36">
        <f t="shared" si="3"/>
        <v>0.12605042228656171</v>
      </c>
      <c r="U14" s="36">
        <f t="shared" si="4"/>
        <v>0.12605042228656171</v>
      </c>
      <c r="V14" s="36">
        <f t="shared" si="5"/>
        <v>0.1044776119402985</v>
      </c>
      <c r="W14" s="36">
        <f t="shared" si="6"/>
        <v>0.12605042228656171</v>
      </c>
      <c r="X14" s="36">
        <f t="shared" si="7"/>
        <v>0.14809595255242633</v>
      </c>
      <c r="Y14" s="36">
        <f t="shared" si="8"/>
        <v>0.12605042228656171</v>
      </c>
      <c r="Z14" s="36">
        <f t="shared" si="9"/>
        <v>0.16014236015248118</v>
      </c>
      <c r="AA14" s="36">
        <f t="shared" si="10"/>
        <v>0.14809595255242633</v>
      </c>
      <c r="AB14" s="36">
        <f t="shared" si="11"/>
        <v>0.14809595255242633</v>
      </c>
      <c r="AC14" s="36">
        <f t="shared" si="12"/>
        <v>0.1044776119402985</v>
      </c>
      <c r="AD14" s="36">
        <f t="shared" si="13"/>
        <v>0.16014236015248118</v>
      </c>
      <c r="AE14" s="36">
        <f t="shared" si="14"/>
        <v>0.14809595255242633</v>
      </c>
      <c r="AF14" s="74">
        <f t="shared" si="15"/>
        <v>0.16014236015248118</v>
      </c>
      <c r="AG14" s="75">
        <f t="shared" si="16"/>
        <v>0.14041683493326368</v>
      </c>
      <c r="AH14" s="1"/>
      <c r="AI14" s="107">
        <f t="shared" si="17"/>
        <v>2.1962964388606041</v>
      </c>
      <c r="AJ14" s="108">
        <f t="shared" si="18"/>
        <v>15.64126153323741</v>
      </c>
    </row>
    <row r="15" spans="1:42" ht="14.5" thickBot="1" x14ac:dyDescent="0.35">
      <c r="A15" s="1"/>
      <c r="B15" s="48" t="s">
        <v>30</v>
      </c>
      <c r="C15" s="21">
        <v>0.2</v>
      </c>
      <c r="D15" s="3">
        <v>0.2</v>
      </c>
      <c r="E15" s="3">
        <v>0.33333299999999999</v>
      </c>
      <c r="F15" s="3">
        <v>0.33333299999999999</v>
      </c>
      <c r="G15" s="3">
        <v>1</v>
      </c>
      <c r="H15" s="3">
        <v>0.33333299999999999</v>
      </c>
      <c r="I15" s="3">
        <v>0.14285700000000001</v>
      </c>
      <c r="J15" s="3">
        <v>0.33333299999999999</v>
      </c>
      <c r="K15" s="3">
        <v>0.2</v>
      </c>
      <c r="L15" s="3">
        <v>0.14285700000000001</v>
      </c>
      <c r="M15" s="3">
        <v>0.14285700000000001</v>
      </c>
      <c r="N15" s="3">
        <v>1</v>
      </c>
      <c r="O15" s="3">
        <v>0.2</v>
      </c>
      <c r="P15" s="3">
        <v>0.14285700000000001</v>
      </c>
      <c r="Q15" s="16">
        <v>0.2</v>
      </c>
      <c r="R15" s="36">
        <f t="shared" si="1"/>
        <v>1.0676157343498745E-2</v>
      </c>
      <c r="S15" s="36">
        <f t="shared" si="2"/>
        <v>1.0676157343498745E-2</v>
      </c>
      <c r="T15" s="36">
        <f t="shared" si="3"/>
        <v>8.4033530824092952E-3</v>
      </c>
      <c r="U15" s="36">
        <f t="shared" si="4"/>
        <v>8.4033530824092952E-3</v>
      </c>
      <c r="V15" s="36">
        <f t="shared" si="5"/>
        <v>1.4925373134328358E-2</v>
      </c>
      <c r="W15" s="36">
        <f t="shared" si="6"/>
        <v>8.4033530824092952E-3</v>
      </c>
      <c r="X15" s="36">
        <f t="shared" si="7"/>
        <v>2.115654349378197E-2</v>
      </c>
      <c r="Y15" s="36">
        <f t="shared" si="8"/>
        <v>8.4033530824092952E-3</v>
      </c>
      <c r="Z15" s="36">
        <f t="shared" si="9"/>
        <v>1.0676157343498745E-2</v>
      </c>
      <c r="AA15" s="36">
        <f t="shared" si="10"/>
        <v>2.115654349378197E-2</v>
      </c>
      <c r="AB15" s="36">
        <f t="shared" si="11"/>
        <v>2.115654349378197E-2</v>
      </c>
      <c r="AC15" s="36">
        <f t="shared" si="12"/>
        <v>1.4925373134328358E-2</v>
      </c>
      <c r="AD15" s="36">
        <f t="shared" si="13"/>
        <v>1.0676157343498745E-2</v>
      </c>
      <c r="AE15" s="36">
        <f t="shared" si="14"/>
        <v>2.115654349378197E-2</v>
      </c>
      <c r="AF15" s="74">
        <f t="shared" si="15"/>
        <v>1.0676157343498745E-2</v>
      </c>
      <c r="AG15" s="75">
        <f t="shared" si="16"/>
        <v>1.34314079527277E-2</v>
      </c>
      <c r="AH15" s="1"/>
      <c r="AI15" s="107">
        <f t="shared" si="17"/>
        <v>0.20354018421368206</v>
      </c>
      <c r="AJ15" s="108">
        <f t="shared" si="18"/>
        <v>15.154046763380927</v>
      </c>
    </row>
    <row r="16" spans="1:42" ht="14.5" thickBot="1" x14ac:dyDescent="0.35">
      <c r="A16" s="1"/>
      <c r="B16" s="50" t="s">
        <v>28</v>
      </c>
      <c r="C16" s="21">
        <v>1</v>
      </c>
      <c r="D16" s="3">
        <v>1</v>
      </c>
      <c r="E16" s="3">
        <v>3</v>
      </c>
      <c r="F16" s="3">
        <v>3</v>
      </c>
      <c r="G16" s="3">
        <v>5</v>
      </c>
      <c r="H16" s="3">
        <v>3</v>
      </c>
      <c r="I16" s="3">
        <v>0.33333299999999999</v>
      </c>
      <c r="J16" s="3">
        <v>3</v>
      </c>
      <c r="K16" s="3">
        <v>1</v>
      </c>
      <c r="L16" s="3">
        <v>0.33333299999999999</v>
      </c>
      <c r="M16" s="3">
        <v>0.33333299999999999</v>
      </c>
      <c r="N16" s="3">
        <v>5</v>
      </c>
      <c r="O16" s="3">
        <v>1</v>
      </c>
      <c r="P16" s="3">
        <v>0.33333299999999999</v>
      </c>
      <c r="Q16" s="16">
        <v>1</v>
      </c>
      <c r="R16" s="36">
        <f t="shared" si="1"/>
        <v>5.3380786717493724E-2</v>
      </c>
      <c r="S16" s="36">
        <f t="shared" si="2"/>
        <v>5.3380786717493724E-2</v>
      </c>
      <c r="T16" s="36">
        <f t="shared" si="3"/>
        <v>7.5630253371937031E-2</v>
      </c>
      <c r="U16" s="36">
        <f t="shared" si="4"/>
        <v>7.5630253371937031E-2</v>
      </c>
      <c r="V16" s="36">
        <f t="shared" si="5"/>
        <v>7.4626865671641784E-2</v>
      </c>
      <c r="W16" s="36">
        <f t="shared" si="6"/>
        <v>7.5630253371937031E-2</v>
      </c>
      <c r="X16" s="36">
        <f t="shared" si="7"/>
        <v>4.9365268152157922E-2</v>
      </c>
      <c r="Y16" s="36">
        <f t="shared" si="8"/>
        <v>7.5630253371937031E-2</v>
      </c>
      <c r="Z16" s="36">
        <f t="shared" si="9"/>
        <v>5.3380786717493724E-2</v>
      </c>
      <c r="AA16" s="36">
        <f t="shared" si="10"/>
        <v>4.9365268152157922E-2</v>
      </c>
      <c r="AB16" s="36">
        <f t="shared" si="11"/>
        <v>4.9365268152157922E-2</v>
      </c>
      <c r="AC16" s="36">
        <f t="shared" si="12"/>
        <v>7.4626865671641784E-2</v>
      </c>
      <c r="AD16" s="36">
        <f t="shared" si="13"/>
        <v>5.3380786717493724E-2</v>
      </c>
      <c r="AE16" s="36">
        <f t="shared" si="14"/>
        <v>4.9365268152157922E-2</v>
      </c>
      <c r="AF16" s="74">
        <f t="shared" si="15"/>
        <v>5.3380786717493724E-2</v>
      </c>
      <c r="AG16" s="75">
        <f t="shared" si="16"/>
        <v>6.1075983401808788E-2</v>
      </c>
      <c r="AH16" s="1"/>
      <c r="AI16" s="107">
        <f t="shared" si="17"/>
        <v>0.94518603794889722</v>
      </c>
      <c r="AJ16" s="108">
        <f t="shared" si="18"/>
        <v>15.475576246241909</v>
      </c>
    </row>
    <row r="17" spans="1:36" ht="14.5" thickBot="1" x14ac:dyDescent="0.35">
      <c r="A17" s="1"/>
      <c r="B17" s="50" t="s">
        <v>23</v>
      </c>
      <c r="C17" s="21">
        <v>3</v>
      </c>
      <c r="D17" s="3">
        <v>3</v>
      </c>
      <c r="E17" s="3">
        <v>5</v>
      </c>
      <c r="F17" s="3">
        <v>5</v>
      </c>
      <c r="G17" s="3">
        <v>7</v>
      </c>
      <c r="H17" s="3">
        <v>5</v>
      </c>
      <c r="I17" s="3">
        <v>1</v>
      </c>
      <c r="J17" s="3">
        <v>5</v>
      </c>
      <c r="K17" s="3">
        <v>3</v>
      </c>
      <c r="L17" s="3">
        <v>1</v>
      </c>
      <c r="M17" s="3">
        <v>1</v>
      </c>
      <c r="N17" s="3">
        <v>7</v>
      </c>
      <c r="O17" s="3">
        <v>3</v>
      </c>
      <c r="P17" s="3">
        <v>1</v>
      </c>
      <c r="Q17" s="16">
        <v>3</v>
      </c>
      <c r="R17" s="36">
        <f t="shared" si="1"/>
        <v>0.16014236015248118</v>
      </c>
      <c r="S17" s="36">
        <f t="shared" si="2"/>
        <v>0.16014236015248118</v>
      </c>
      <c r="T17" s="36">
        <f t="shared" si="3"/>
        <v>0.12605042228656171</v>
      </c>
      <c r="U17" s="36">
        <f t="shared" si="4"/>
        <v>0.12605042228656171</v>
      </c>
      <c r="V17" s="36">
        <f t="shared" si="5"/>
        <v>0.1044776119402985</v>
      </c>
      <c r="W17" s="36">
        <f t="shared" si="6"/>
        <v>0.12605042228656171</v>
      </c>
      <c r="X17" s="36">
        <f t="shared" si="7"/>
        <v>0.14809595255242633</v>
      </c>
      <c r="Y17" s="36">
        <f t="shared" si="8"/>
        <v>0.12605042228656171</v>
      </c>
      <c r="Z17" s="36">
        <f t="shared" si="9"/>
        <v>0.16014236015248118</v>
      </c>
      <c r="AA17" s="36">
        <f t="shared" si="10"/>
        <v>0.14809595255242633</v>
      </c>
      <c r="AB17" s="36">
        <f t="shared" si="11"/>
        <v>0.14809595255242633</v>
      </c>
      <c r="AC17" s="36">
        <f t="shared" si="12"/>
        <v>0.1044776119402985</v>
      </c>
      <c r="AD17" s="36">
        <f t="shared" si="13"/>
        <v>0.16014236015248118</v>
      </c>
      <c r="AE17" s="36">
        <f t="shared" si="14"/>
        <v>0.14809595255242633</v>
      </c>
      <c r="AF17" s="74">
        <f t="shared" si="15"/>
        <v>0.16014236015248118</v>
      </c>
      <c r="AG17" s="75">
        <f t="shared" si="16"/>
        <v>0.14041683493326368</v>
      </c>
      <c r="AH17" s="1"/>
      <c r="AI17" s="107">
        <f t="shared" si="17"/>
        <v>2.1962964388606041</v>
      </c>
      <c r="AJ17" s="108">
        <f t="shared" si="18"/>
        <v>15.64126153323741</v>
      </c>
    </row>
    <row r="18" spans="1:36" ht="14.5" thickBot="1" x14ac:dyDescent="0.35">
      <c r="A18" s="1"/>
      <c r="B18" s="48" t="s">
        <v>21</v>
      </c>
      <c r="C18" s="22">
        <v>1</v>
      </c>
      <c r="D18" s="18">
        <v>1</v>
      </c>
      <c r="E18" s="18">
        <v>3</v>
      </c>
      <c r="F18" s="18">
        <v>3</v>
      </c>
      <c r="G18" s="18">
        <v>5</v>
      </c>
      <c r="H18" s="18">
        <v>3</v>
      </c>
      <c r="I18" s="18">
        <v>0.33333299999999999</v>
      </c>
      <c r="J18" s="18">
        <v>3</v>
      </c>
      <c r="K18" s="18">
        <v>1</v>
      </c>
      <c r="L18" s="18">
        <v>0.33333299999999999</v>
      </c>
      <c r="M18" s="18">
        <v>0.33333299999999999</v>
      </c>
      <c r="N18" s="18">
        <v>5</v>
      </c>
      <c r="O18" s="18">
        <v>1</v>
      </c>
      <c r="P18" s="18">
        <v>0.33333299999999999</v>
      </c>
      <c r="Q18" s="17">
        <v>1</v>
      </c>
      <c r="R18" s="36">
        <f t="shared" si="1"/>
        <v>5.3380786717493724E-2</v>
      </c>
      <c r="S18" s="36">
        <f t="shared" si="2"/>
        <v>5.3380786717493724E-2</v>
      </c>
      <c r="T18" s="36">
        <f t="shared" si="3"/>
        <v>7.5630253371937031E-2</v>
      </c>
      <c r="U18" s="36">
        <f t="shared" si="4"/>
        <v>7.5630253371937031E-2</v>
      </c>
      <c r="V18" s="36">
        <f t="shared" si="5"/>
        <v>7.4626865671641784E-2</v>
      </c>
      <c r="W18" s="36">
        <f t="shared" si="6"/>
        <v>7.5630253371937031E-2</v>
      </c>
      <c r="X18" s="36">
        <f t="shared" si="7"/>
        <v>4.9365268152157922E-2</v>
      </c>
      <c r="Y18" s="36">
        <f t="shared" si="8"/>
        <v>7.5630253371937031E-2</v>
      </c>
      <c r="Z18" s="36">
        <f t="shared" si="9"/>
        <v>5.3380786717493724E-2</v>
      </c>
      <c r="AA18" s="36">
        <f t="shared" si="10"/>
        <v>4.9365268152157922E-2</v>
      </c>
      <c r="AB18" s="36">
        <f t="shared" si="11"/>
        <v>4.9365268152157922E-2</v>
      </c>
      <c r="AC18" s="36">
        <f t="shared" si="12"/>
        <v>7.4626865671641784E-2</v>
      </c>
      <c r="AD18" s="36">
        <f t="shared" si="13"/>
        <v>5.3380786717493724E-2</v>
      </c>
      <c r="AE18" s="36">
        <f t="shared" si="14"/>
        <v>4.9365268152157922E-2</v>
      </c>
      <c r="AF18" s="74">
        <f t="shared" si="15"/>
        <v>5.3380786717493724E-2</v>
      </c>
      <c r="AG18" s="34">
        <f t="shared" si="16"/>
        <v>6.1075983401808788E-2</v>
      </c>
      <c r="AH18" s="1"/>
      <c r="AI18" s="107">
        <f t="shared" si="17"/>
        <v>0.94518603794889722</v>
      </c>
      <c r="AJ18" s="108">
        <f t="shared" si="18"/>
        <v>15.475576246241909</v>
      </c>
    </row>
    <row r="19" spans="1:36" ht="14.5" thickBot="1" x14ac:dyDescent="0.35">
      <c r="A19" s="1"/>
      <c r="B19" s="23" t="s">
        <v>7</v>
      </c>
      <c r="C19" s="40">
        <f>SUM(C4:C18)</f>
        <v>18.733331999999997</v>
      </c>
      <c r="D19" s="40">
        <f t="shared" ref="D19:Q19" si="19">SUM(D4:D18)</f>
        <v>18.733331999999997</v>
      </c>
      <c r="E19" s="40">
        <f t="shared" si="19"/>
        <v>39.666665999999999</v>
      </c>
      <c r="F19" s="40">
        <f t="shared" si="19"/>
        <v>39.666665999999999</v>
      </c>
      <c r="G19" s="40">
        <f t="shared" si="19"/>
        <v>67</v>
      </c>
      <c r="H19" s="40">
        <f t="shared" si="19"/>
        <v>39.666665999999999</v>
      </c>
      <c r="I19" s="40">
        <f t="shared" si="19"/>
        <v>6.7523790000000004</v>
      </c>
      <c r="J19" s="40">
        <f t="shared" si="19"/>
        <v>39.666665999999999</v>
      </c>
      <c r="K19" s="40">
        <f t="shared" si="19"/>
        <v>18.733331999999997</v>
      </c>
      <c r="L19" s="40">
        <f t="shared" si="19"/>
        <v>6.7523790000000004</v>
      </c>
      <c r="M19" s="40">
        <f t="shared" si="19"/>
        <v>6.7523790000000004</v>
      </c>
      <c r="N19" s="40">
        <f t="shared" si="19"/>
        <v>67</v>
      </c>
      <c r="O19" s="40">
        <f t="shared" si="19"/>
        <v>18.733331999999997</v>
      </c>
      <c r="P19" s="40">
        <f t="shared" si="19"/>
        <v>6.7523790000000004</v>
      </c>
      <c r="Q19" s="40">
        <f t="shared" si="19"/>
        <v>18.733331999999997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6" ht="14.5" thickBot="1" x14ac:dyDescent="0.35">
      <c r="B20" s="130" t="s">
        <v>9</v>
      </c>
      <c r="C20" s="131">
        <f>AG4</f>
        <v>6.1075983401808788E-2</v>
      </c>
      <c r="D20" s="131">
        <f>AG5</f>
        <v>6.1075983401808788E-2</v>
      </c>
      <c r="E20" s="131">
        <f>AG6</f>
        <v>2.652248183811149E-2</v>
      </c>
      <c r="F20" s="131">
        <f>AG7</f>
        <v>2.652248183811149E-2</v>
      </c>
      <c r="G20" s="131">
        <f>AG8</f>
        <v>1.34314079527277E-2</v>
      </c>
      <c r="H20" s="131">
        <f>AG9</f>
        <v>2.652248183811149E-2</v>
      </c>
      <c r="I20" s="131">
        <f>AG10</f>
        <v>0.14041683493326368</v>
      </c>
      <c r="J20" s="131">
        <f>AG11</f>
        <v>2.652248183811149E-2</v>
      </c>
      <c r="K20" s="131">
        <f>AG12</f>
        <v>6.1075983401808788E-2</v>
      </c>
      <c r="L20" s="131">
        <f>AG13</f>
        <v>0.14041683493326368</v>
      </c>
      <c r="M20" s="131">
        <f>AG14</f>
        <v>0.14041683493326368</v>
      </c>
      <c r="N20" s="131">
        <f>AG15</f>
        <v>1.34314079527277E-2</v>
      </c>
      <c r="O20" s="131">
        <f>AG16</f>
        <v>6.1075983401808788E-2</v>
      </c>
      <c r="P20" s="131">
        <f>AG17</f>
        <v>0.14041683493326368</v>
      </c>
      <c r="Q20" s="132">
        <f>AG18</f>
        <v>6.1075983401808788E-2</v>
      </c>
    </row>
    <row r="22" spans="1:36" ht="14.5" x14ac:dyDescent="0.3"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</row>
  </sheetData>
  <mergeCells count="2">
    <mergeCell ref="B2:AG2"/>
    <mergeCell ref="R3:AF3"/>
  </mergeCells>
  <conditionalFormatting sqref="AP4">
    <cfRule type="cellIs" dxfId="3" priority="1" operator="greaterThan">
      <formula>0.1</formula>
    </cfRule>
    <cfRule type="cellIs" dxfId="2" priority="2" operator="lessThan">
      <formula>0.1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D323-BC3F-41DA-B666-0CCAE10F8F51}">
  <dimension ref="A1:AP20"/>
  <sheetViews>
    <sheetView topLeftCell="O1" zoomScale="61" zoomScaleNormal="85" workbookViewId="0">
      <selection activeCell="AK23" sqref="AK23"/>
    </sheetView>
  </sheetViews>
  <sheetFormatPr baseColWidth="10" defaultRowHeight="14" x14ac:dyDescent="0.3"/>
  <cols>
    <col min="1" max="1" width="10.90625" style="44"/>
    <col min="2" max="2" width="25.08984375" style="44" customWidth="1"/>
    <col min="3" max="11" width="10.6328125" style="44" customWidth="1"/>
    <col min="12" max="17" width="10.90625" style="44"/>
    <col min="18" max="32" width="7.81640625" style="44" customWidth="1"/>
    <col min="33" max="16384" width="10.90625" style="44"/>
  </cols>
  <sheetData>
    <row r="1" spans="1:42" ht="14.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2" ht="14.5" thickBot="1" x14ac:dyDescent="0.35">
      <c r="A2" s="1"/>
      <c r="B2" s="187" t="s">
        <v>14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9"/>
      <c r="AH2" s="1"/>
    </row>
    <row r="3" spans="1:42" s="47" customFormat="1" ht="42.5" thickBot="1" x14ac:dyDescent="0.35">
      <c r="A3" s="1"/>
      <c r="B3" s="12" t="s">
        <v>0</v>
      </c>
      <c r="C3" s="45" t="s">
        <v>22</v>
      </c>
      <c r="D3" s="45" t="s">
        <v>29</v>
      </c>
      <c r="E3" s="14" t="s">
        <v>18</v>
      </c>
      <c r="F3" s="46" t="s">
        <v>24</v>
      </c>
      <c r="G3" s="46" t="s">
        <v>31</v>
      </c>
      <c r="H3" s="45" t="s">
        <v>25</v>
      </c>
      <c r="I3" s="45" t="s">
        <v>27</v>
      </c>
      <c r="J3" s="46" t="s">
        <v>20</v>
      </c>
      <c r="K3" s="45" t="s">
        <v>19</v>
      </c>
      <c r="L3" s="46" t="s">
        <v>32</v>
      </c>
      <c r="M3" s="46" t="s">
        <v>26</v>
      </c>
      <c r="N3" s="45" t="s">
        <v>30</v>
      </c>
      <c r="O3" s="46" t="s">
        <v>28</v>
      </c>
      <c r="P3" s="46" t="s">
        <v>23</v>
      </c>
      <c r="Q3" s="45" t="s">
        <v>21</v>
      </c>
      <c r="R3" s="178" t="s">
        <v>8</v>
      </c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79"/>
      <c r="AG3" s="12" t="s">
        <v>12</v>
      </c>
      <c r="AH3" s="1"/>
      <c r="AI3" s="14" t="s">
        <v>43</v>
      </c>
      <c r="AJ3" s="12" t="s">
        <v>41</v>
      </c>
      <c r="AK3" s="12" t="s">
        <v>45</v>
      </c>
      <c r="AL3" s="12" t="s">
        <v>44</v>
      </c>
      <c r="AM3" s="12" t="s">
        <v>46</v>
      </c>
      <c r="AN3" s="1"/>
      <c r="AO3" s="12" t="s">
        <v>42</v>
      </c>
      <c r="AP3" s="39">
        <f>(AK4-AL4)/(AL4-1)</f>
        <v>2.0409768339477656E-2</v>
      </c>
    </row>
    <row r="4" spans="1:42" ht="15" thickBot="1" x14ac:dyDescent="0.35">
      <c r="A4" s="1"/>
      <c r="B4" s="48" t="s">
        <v>22</v>
      </c>
      <c r="C4" s="82">
        <v>1</v>
      </c>
      <c r="D4" s="83">
        <v>3</v>
      </c>
      <c r="E4" s="83">
        <v>1</v>
      </c>
      <c r="F4" s="83">
        <v>0.33333299999999999</v>
      </c>
      <c r="G4" s="83">
        <v>3</v>
      </c>
      <c r="H4" s="83">
        <v>3</v>
      </c>
      <c r="I4" s="83">
        <v>0.33333299999999999</v>
      </c>
      <c r="J4" s="83">
        <v>3</v>
      </c>
      <c r="K4" s="83">
        <v>1</v>
      </c>
      <c r="L4" s="83">
        <v>0.33333299999999999</v>
      </c>
      <c r="M4" s="83">
        <v>0.2</v>
      </c>
      <c r="N4" s="83">
        <v>3</v>
      </c>
      <c r="O4" s="83">
        <v>1</v>
      </c>
      <c r="P4" s="83">
        <v>1</v>
      </c>
      <c r="Q4" s="84">
        <v>1</v>
      </c>
      <c r="R4" s="36">
        <f>C4/C$19</f>
        <v>4.615384970414229E-2</v>
      </c>
      <c r="S4" s="36">
        <f t="shared" ref="S4:AF4" si="0">D4/D$19</f>
        <v>6.6666666666666666E-2</v>
      </c>
      <c r="T4" s="36">
        <f t="shared" si="0"/>
        <v>4.615384970414229E-2</v>
      </c>
      <c r="U4" s="36">
        <f t="shared" si="0"/>
        <v>3.7037008230446276E-2</v>
      </c>
      <c r="V4" s="36">
        <f t="shared" si="0"/>
        <v>6.6666666666666666E-2</v>
      </c>
      <c r="W4" s="36">
        <f t="shared" si="0"/>
        <v>6.6666666666666666E-2</v>
      </c>
      <c r="X4" s="36">
        <f t="shared" si="0"/>
        <v>3.7037008230446276E-2</v>
      </c>
      <c r="Y4" s="36">
        <f t="shared" si="0"/>
        <v>6.6666666666666666E-2</v>
      </c>
      <c r="Z4" s="36">
        <f t="shared" si="0"/>
        <v>4.615384970414229E-2</v>
      </c>
      <c r="AA4" s="36">
        <f t="shared" si="0"/>
        <v>3.7037008230446276E-2</v>
      </c>
      <c r="AB4" s="36">
        <f t="shared" si="0"/>
        <v>5.1094912888283016E-2</v>
      </c>
      <c r="AC4" s="36">
        <f t="shared" si="0"/>
        <v>6.6666666666666666E-2</v>
      </c>
      <c r="AD4" s="36">
        <f t="shared" si="0"/>
        <v>4.615384970414229E-2</v>
      </c>
      <c r="AE4" s="36">
        <f t="shared" si="0"/>
        <v>4.615384970414229E-2</v>
      </c>
      <c r="AF4" s="36">
        <f t="shared" si="0"/>
        <v>4.615384970414229E-2</v>
      </c>
      <c r="AG4" s="39">
        <f>AVERAGE(R4:AF4)</f>
        <v>5.1497491275853922E-2</v>
      </c>
      <c r="AH4" s="1"/>
      <c r="AI4" s="107">
        <f>SUMPRODUCT(C4:Q4,$C$20:$Q$20)</f>
        <v>0.78145922166226356</v>
      </c>
      <c r="AJ4" s="108">
        <f>AI4/AG4</f>
        <v>15.174704675928032</v>
      </c>
      <c r="AK4" s="109">
        <f>AVERAGE(AJ4:AJ18)</f>
        <v>15.285736756752687</v>
      </c>
      <c r="AL4" s="109">
        <v>15</v>
      </c>
      <c r="AM4" s="108">
        <f>(1.86668*(15-2))/15</f>
        <v>1.6177893333333333</v>
      </c>
      <c r="AN4" s="35"/>
      <c r="AO4" s="103" t="s">
        <v>10</v>
      </c>
      <c r="AP4" s="34">
        <f>AP3/AM4</f>
        <v>1.2615838118690562E-2</v>
      </c>
    </row>
    <row r="5" spans="1:42" ht="15" thickBot="1" x14ac:dyDescent="0.35">
      <c r="A5" s="1"/>
      <c r="B5" s="48" t="s">
        <v>29</v>
      </c>
      <c r="C5" s="85">
        <v>0.33333299999999999</v>
      </c>
      <c r="D5" s="81">
        <v>1</v>
      </c>
      <c r="E5" s="81">
        <v>0.33333299999999999</v>
      </c>
      <c r="F5" s="81">
        <v>0.2</v>
      </c>
      <c r="G5" s="81">
        <v>1</v>
      </c>
      <c r="H5" s="81">
        <v>1</v>
      </c>
      <c r="I5" s="81">
        <v>0.2</v>
      </c>
      <c r="J5" s="81">
        <v>1</v>
      </c>
      <c r="K5" s="81">
        <v>0.33333299999999999</v>
      </c>
      <c r="L5" s="81">
        <v>0.2</v>
      </c>
      <c r="M5" s="81">
        <v>0.14285700000000001</v>
      </c>
      <c r="N5" s="81">
        <v>1</v>
      </c>
      <c r="O5" s="81">
        <v>0.33333299999999999</v>
      </c>
      <c r="P5" s="81">
        <v>0.33333299999999999</v>
      </c>
      <c r="Q5" s="86">
        <v>0.33333299999999999</v>
      </c>
      <c r="R5" s="36">
        <f t="shared" ref="R5:R18" si="1">C5/C$19</f>
        <v>1.538460118343086E-2</v>
      </c>
      <c r="S5" s="36">
        <f t="shared" ref="S5:S18" si="2">D5/D$19</f>
        <v>2.2222222222222223E-2</v>
      </c>
      <c r="T5" s="36">
        <f t="shared" ref="T5:T18" si="3">E5/E$19</f>
        <v>1.538460118343086E-2</v>
      </c>
      <c r="U5" s="36">
        <f t="shared" ref="U5:U18" si="4">F5/F$19</f>
        <v>2.2222227160494927E-2</v>
      </c>
      <c r="V5" s="36">
        <f t="shared" ref="V5:V18" si="5">G5/G$19</f>
        <v>2.2222222222222223E-2</v>
      </c>
      <c r="W5" s="36">
        <f t="shared" ref="W5:W18" si="6">H5/H$19</f>
        <v>2.2222222222222223E-2</v>
      </c>
      <c r="X5" s="36">
        <f t="shared" ref="X5:X18" si="7">I5/I$19</f>
        <v>2.2222227160494927E-2</v>
      </c>
      <c r="Y5" s="36">
        <f t="shared" ref="Y5:Y18" si="8">J5/J$19</f>
        <v>2.2222222222222223E-2</v>
      </c>
      <c r="Z5" s="36">
        <f t="shared" ref="Z5:Z18" si="9">K5/K$19</f>
        <v>1.538460118343086E-2</v>
      </c>
      <c r="AA5" s="36">
        <f t="shared" ref="AA5:AA18" si="10">L5/L$19</f>
        <v>2.2222227160494927E-2</v>
      </c>
      <c r="AB5" s="36">
        <f t="shared" ref="AB5:AB18" si="11">M5/M$19</f>
        <v>3.6496329852407236E-2</v>
      </c>
      <c r="AC5" s="36">
        <f t="shared" ref="AC5:AC18" si="12">N5/N$19</f>
        <v>2.2222222222222223E-2</v>
      </c>
      <c r="AD5" s="36">
        <f t="shared" ref="AD5:AD18" si="13">O5/O$19</f>
        <v>1.538460118343086E-2</v>
      </c>
      <c r="AE5" s="36">
        <f t="shared" ref="AE5:AE18" si="14">P5/P$19</f>
        <v>1.538460118343086E-2</v>
      </c>
      <c r="AF5" s="36">
        <f t="shared" ref="AF5:AF18" si="15">Q5/Q$19</f>
        <v>1.538460118343086E-2</v>
      </c>
      <c r="AG5" s="39">
        <f t="shared" ref="AG5:AG18" si="16">AVERAGE(R5:AF5)</f>
        <v>2.0438781969705888E-2</v>
      </c>
      <c r="AH5" s="1"/>
      <c r="AI5" s="107">
        <f t="shared" ref="AI5:AI18" si="17">SUMPRODUCT(C5:Q5,$C$20:$Q$20)</f>
        <v>0.30993253561791123</v>
      </c>
      <c r="AJ5" s="108">
        <f>AI5/AG5</f>
        <v>15.163943530357603</v>
      </c>
      <c r="AK5" s="35"/>
      <c r="AL5" s="35"/>
      <c r="AM5" s="35"/>
      <c r="AN5" s="35"/>
      <c r="AO5" s="35"/>
      <c r="AP5" s="35"/>
    </row>
    <row r="6" spans="1:42" ht="15" thickBot="1" x14ac:dyDescent="0.35">
      <c r="A6" s="1"/>
      <c r="B6" s="49" t="s">
        <v>18</v>
      </c>
      <c r="C6" s="85">
        <v>1</v>
      </c>
      <c r="D6" s="81">
        <v>3</v>
      </c>
      <c r="E6" s="81">
        <v>1</v>
      </c>
      <c r="F6" s="81">
        <v>0.33333299999999999</v>
      </c>
      <c r="G6" s="81">
        <v>3</v>
      </c>
      <c r="H6" s="81">
        <v>3</v>
      </c>
      <c r="I6" s="81">
        <v>0.33333299999999999</v>
      </c>
      <c r="J6" s="81">
        <v>3</v>
      </c>
      <c r="K6" s="81">
        <v>1</v>
      </c>
      <c r="L6" s="81">
        <v>0.33333299999999999</v>
      </c>
      <c r="M6" s="81">
        <v>0.2</v>
      </c>
      <c r="N6" s="81">
        <v>3</v>
      </c>
      <c r="O6" s="81">
        <v>1</v>
      </c>
      <c r="P6" s="81">
        <v>1</v>
      </c>
      <c r="Q6" s="86">
        <v>1</v>
      </c>
      <c r="R6" s="36">
        <f t="shared" si="1"/>
        <v>4.615384970414229E-2</v>
      </c>
      <c r="S6" s="36">
        <f t="shared" si="2"/>
        <v>6.6666666666666666E-2</v>
      </c>
      <c r="T6" s="36">
        <f t="shared" si="3"/>
        <v>4.615384970414229E-2</v>
      </c>
      <c r="U6" s="36">
        <f t="shared" si="4"/>
        <v>3.7037008230446276E-2</v>
      </c>
      <c r="V6" s="36">
        <f t="shared" si="5"/>
        <v>6.6666666666666666E-2</v>
      </c>
      <c r="W6" s="36">
        <f t="shared" si="6"/>
        <v>6.6666666666666666E-2</v>
      </c>
      <c r="X6" s="36">
        <f t="shared" si="7"/>
        <v>3.7037008230446276E-2</v>
      </c>
      <c r="Y6" s="36">
        <f t="shared" si="8"/>
        <v>6.6666666666666666E-2</v>
      </c>
      <c r="Z6" s="36">
        <f t="shared" si="9"/>
        <v>4.615384970414229E-2</v>
      </c>
      <c r="AA6" s="36">
        <f t="shared" si="10"/>
        <v>3.7037008230446276E-2</v>
      </c>
      <c r="AB6" s="36">
        <f t="shared" si="11"/>
        <v>5.1094912888283016E-2</v>
      </c>
      <c r="AC6" s="36">
        <f t="shared" si="12"/>
        <v>6.6666666666666666E-2</v>
      </c>
      <c r="AD6" s="36">
        <f t="shared" si="13"/>
        <v>4.615384970414229E-2</v>
      </c>
      <c r="AE6" s="36">
        <f t="shared" si="14"/>
        <v>4.615384970414229E-2</v>
      </c>
      <c r="AF6" s="36">
        <f t="shared" si="15"/>
        <v>4.615384970414229E-2</v>
      </c>
      <c r="AG6" s="39">
        <f t="shared" si="16"/>
        <v>5.1497491275853922E-2</v>
      </c>
      <c r="AH6" s="1"/>
      <c r="AI6" s="107">
        <f t="shared" si="17"/>
        <v>0.78145922166226356</v>
      </c>
      <c r="AJ6" s="108">
        <f t="shared" ref="AJ6:AJ18" si="18">AI6/AG6</f>
        <v>15.174704675928032</v>
      </c>
      <c r="AK6" s="101"/>
      <c r="AL6" s="101"/>
      <c r="AM6" s="101"/>
      <c r="AN6" s="35"/>
      <c r="AO6" s="1"/>
      <c r="AP6" s="35"/>
    </row>
    <row r="7" spans="1:42" ht="15" thickBot="1" x14ac:dyDescent="0.35">
      <c r="A7" s="1"/>
      <c r="B7" s="50" t="s">
        <v>24</v>
      </c>
      <c r="C7" s="85">
        <v>3</v>
      </c>
      <c r="D7" s="81">
        <v>5</v>
      </c>
      <c r="E7" s="81">
        <v>3</v>
      </c>
      <c r="F7" s="81">
        <v>1</v>
      </c>
      <c r="G7" s="81">
        <v>5</v>
      </c>
      <c r="H7" s="81">
        <v>5</v>
      </c>
      <c r="I7" s="81">
        <v>1</v>
      </c>
      <c r="J7" s="81">
        <v>5</v>
      </c>
      <c r="K7" s="81">
        <v>3</v>
      </c>
      <c r="L7" s="81">
        <v>1</v>
      </c>
      <c r="M7" s="81">
        <v>0.33333299999999999</v>
      </c>
      <c r="N7" s="81">
        <v>5</v>
      </c>
      <c r="O7" s="81">
        <v>3</v>
      </c>
      <c r="P7" s="81">
        <v>3</v>
      </c>
      <c r="Q7" s="86">
        <v>3</v>
      </c>
      <c r="R7" s="36">
        <f t="shared" si="1"/>
        <v>0.13846154911242686</v>
      </c>
      <c r="S7" s="36">
        <f t="shared" si="2"/>
        <v>0.1111111111111111</v>
      </c>
      <c r="T7" s="36">
        <f t="shared" si="3"/>
        <v>0.13846154911242686</v>
      </c>
      <c r="U7" s="36">
        <f t="shared" si="4"/>
        <v>0.11111113580247463</v>
      </c>
      <c r="V7" s="36">
        <f t="shared" si="5"/>
        <v>0.1111111111111111</v>
      </c>
      <c r="W7" s="36">
        <f t="shared" si="6"/>
        <v>0.1111111111111111</v>
      </c>
      <c r="X7" s="36">
        <f t="shared" si="7"/>
        <v>0.11111113580247463</v>
      </c>
      <c r="Y7" s="36">
        <f t="shared" si="8"/>
        <v>0.1111111111111111</v>
      </c>
      <c r="Z7" s="36">
        <f t="shared" si="9"/>
        <v>0.13846154911242686</v>
      </c>
      <c r="AA7" s="36">
        <f t="shared" si="10"/>
        <v>0.11111113580247463</v>
      </c>
      <c r="AB7" s="36">
        <f t="shared" si="11"/>
        <v>8.5158102988950199E-2</v>
      </c>
      <c r="AC7" s="36">
        <f t="shared" si="12"/>
        <v>0.1111111111111111</v>
      </c>
      <c r="AD7" s="36">
        <f t="shared" si="13"/>
        <v>0.13846154911242686</v>
      </c>
      <c r="AE7" s="36">
        <f t="shared" si="14"/>
        <v>0.13846154911242686</v>
      </c>
      <c r="AF7" s="36">
        <f t="shared" si="15"/>
        <v>0.13846154911242686</v>
      </c>
      <c r="AG7" s="39">
        <f t="shared" si="16"/>
        <v>0.12032109070843269</v>
      </c>
      <c r="AH7" s="1"/>
      <c r="AI7" s="107">
        <f t="shared" si="17"/>
        <v>1.8748402118377081</v>
      </c>
      <c r="AJ7" s="108">
        <f t="shared" si="18"/>
        <v>15.581974870730706</v>
      </c>
      <c r="AK7" s="101"/>
      <c r="AL7" s="101"/>
      <c r="AM7" s="101"/>
      <c r="AN7" s="1"/>
      <c r="AO7" s="1"/>
      <c r="AP7" s="35"/>
    </row>
    <row r="8" spans="1:42" ht="15" thickBot="1" x14ac:dyDescent="0.35">
      <c r="A8" s="1"/>
      <c r="B8" s="50" t="s">
        <v>31</v>
      </c>
      <c r="C8" s="85">
        <v>0.33333299999999999</v>
      </c>
      <c r="D8" s="81">
        <v>1</v>
      </c>
      <c r="E8" s="81">
        <v>0.33333299999999999</v>
      </c>
      <c r="F8" s="81">
        <v>0.2</v>
      </c>
      <c r="G8" s="81">
        <v>1</v>
      </c>
      <c r="H8" s="81">
        <v>1</v>
      </c>
      <c r="I8" s="81">
        <v>0.2</v>
      </c>
      <c r="J8" s="81">
        <v>1</v>
      </c>
      <c r="K8" s="81">
        <v>0.33333299999999999</v>
      </c>
      <c r="L8" s="81">
        <v>0.2</v>
      </c>
      <c r="M8" s="81">
        <v>0.14285700000000001</v>
      </c>
      <c r="N8" s="81">
        <v>1</v>
      </c>
      <c r="O8" s="81">
        <v>0.33333299999999999</v>
      </c>
      <c r="P8" s="81">
        <v>0.33333299999999999</v>
      </c>
      <c r="Q8" s="86">
        <v>0.33333299999999999</v>
      </c>
      <c r="R8" s="36">
        <f t="shared" si="1"/>
        <v>1.538460118343086E-2</v>
      </c>
      <c r="S8" s="36">
        <f t="shared" si="2"/>
        <v>2.2222222222222223E-2</v>
      </c>
      <c r="T8" s="36">
        <f t="shared" si="3"/>
        <v>1.538460118343086E-2</v>
      </c>
      <c r="U8" s="36">
        <f t="shared" si="4"/>
        <v>2.2222227160494927E-2</v>
      </c>
      <c r="V8" s="36">
        <f t="shared" si="5"/>
        <v>2.2222222222222223E-2</v>
      </c>
      <c r="W8" s="36">
        <f t="shared" si="6"/>
        <v>2.2222222222222223E-2</v>
      </c>
      <c r="X8" s="36">
        <f t="shared" si="7"/>
        <v>2.2222227160494927E-2</v>
      </c>
      <c r="Y8" s="36">
        <f t="shared" si="8"/>
        <v>2.2222222222222223E-2</v>
      </c>
      <c r="Z8" s="36">
        <f t="shared" si="9"/>
        <v>1.538460118343086E-2</v>
      </c>
      <c r="AA8" s="36">
        <f t="shared" si="10"/>
        <v>2.2222227160494927E-2</v>
      </c>
      <c r="AB8" s="36">
        <f t="shared" si="11"/>
        <v>3.6496329852407236E-2</v>
      </c>
      <c r="AC8" s="36">
        <f t="shared" si="12"/>
        <v>2.2222222222222223E-2</v>
      </c>
      <c r="AD8" s="36">
        <f t="shared" si="13"/>
        <v>1.538460118343086E-2</v>
      </c>
      <c r="AE8" s="36">
        <f t="shared" si="14"/>
        <v>1.538460118343086E-2</v>
      </c>
      <c r="AF8" s="36">
        <f t="shared" si="15"/>
        <v>1.538460118343086E-2</v>
      </c>
      <c r="AG8" s="39">
        <f t="shared" si="16"/>
        <v>2.0438781969705888E-2</v>
      </c>
      <c r="AH8" s="1"/>
      <c r="AI8" s="107">
        <f t="shared" si="17"/>
        <v>0.30993253561791123</v>
      </c>
      <c r="AJ8" s="108">
        <f t="shared" si="18"/>
        <v>15.163943530357603</v>
      </c>
      <c r="AK8" s="101"/>
      <c r="AL8" s="101"/>
      <c r="AM8" s="101"/>
      <c r="AN8" s="1"/>
      <c r="AO8" s="35"/>
      <c r="AP8" s="35"/>
    </row>
    <row r="9" spans="1:42" ht="15" thickBot="1" x14ac:dyDescent="0.35">
      <c r="A9" s="1"/>
      <c r="B9" s="48" t="s">
        <v>25</v>
      </c>
      <c r="C9" s="85">
        <v>0.33333299999999999</v>
      </c>
      <c r="D9" s="81">
        <v>1</v>
      </c>
      <c r="E9" s="81">
        <v>0.33333299999999999</v>
      </c>
      <c r="F9" s="81">
        <v>0.2</v>
      </c>
      <c r="G9" s="81">
        <v>1</v>
      </c>
      <c r="H9" s="81">
        <v>1</v>
      </c>
      <c r="I9" s="81">
        <v>0.2</v>
      </c>
      <c r="J9" s="81">
        <v>1</v>
      </c>
      <c r="K9" s="81">
        <v>0.33333299999999999</v>
      </c>
      <c r="L9" s="81">
        <v>0.2</v>
      </c>
      <c r="M9" s="81">
        <v>0.14285700000000001</v>
      </c>
      <c r="N9" s="81">
        <v>1</v>
      </c>
      <c r="O9" s="81">
        <v>0.33333299999999999</v>
      </c>
      <c r="P9" s="81">
        <v>0.33333299999999999</v>
      </c>
      <c r="Q9" s="86">
        <v>0.33333299999999999</v>
      </c>
      <c r="R9" s="36">
        <f t="shared" si="1"/>
        <v>1.538460118343086E-2</v>
      </c>
      <c r="S9" s="36">
        <f t="shared" si="2"/>
        <v>2.2222222222222223E-2</v>
      </c>
      <c r="T9" s="36">
        <f t="shared" si="3"/>
        <v>1.538460118343086E-2</v>
      </c>
      <c r="U9" s="36">
        <f t="shared" si="4"/>
        <v>2.2222227160494927E-2</v>
      </c>
      <c r="V9" s="36">
        <f t="shared" si="5"/>
        <v>2.2222222222222223E-2</v>
      </c>
      <c r="W9" s="36">
        <f t="shared" si="6"/>
        <v>2.2222222222222223E-2</v>
      </c>
      <c r="X9" s="36">
        <f t="shared" si="7"/>
        <v>2.2222227160494927E-2</v>
      </c>
      <c r="Y9" s="36">
        <f t="shared" si="8"/>
        <v>2.2222222222222223E-2</v>
      </c>
      <c r="Z9" s="36">
        <f t="shared" si="9"/>
        <v>1.538460118343086E-2</v>
      </c>
      <c r="AA9" s="36">
        <f t="shared" si="10"/>
        <v>2.2222227160494927E-2</v>
      </c>
      <c r="AB9" s="36">
        <f t="shared" si="11"/>
        <v>3.6496329852407236E-2</v>
      </c>
      <c r="AC9" s="36">
        <f t="shared" si="12"/>
        <v>2.2222222222222223E-2</v>
      </c>
      <c r="AD9" s="36">
        <f t="shared" si="13"/>
        <v>1.538460118343086E-2</v>
      </c>
      <c r="AE9" s="36">
        <f t="shared" si="14"/>
        <v>1.538460118343086E-2</v>
      </c>
      <c r="AF9" s="36">
        <f t="shared" si="15"/>
        <v>1.538460118343086E-2</v>
      </c>
      <c r="AG9" s="39">
        <f t="shared" si="16"/>
        <v>2.0438781969705888E-2</v>
      </c>
      <c r="AH9" s="1"/>
      <c r="AI9" s="107">
        <f t="shared" si="17"/>
        <v>0.30993253561791123</v>
      </c>
      <c r="AJ9" s="108">
        <f t="shared" si="18"/>
        <v>15.163943530357603</v>
      </c>
    </row>
    <row r="10" spans="1:42" ht="15" thickBot="1" x14ac:dyDescent="0.35">
      <c r="A10" s="1"/>
      <c r="B10" s="48" t="s">
        <v>27</v>
      </c>
      <c r="C10" s="85">
        <v>3</v>
      </c>
      <c r="D10" s="81">
        <v>5</v>
      </c>
      <c r="E10" s="81">
        <v>3</v>
      </c>
      <c r="F10" s="81">
        <v>1</v>
      </c>
      <c r="G10" s="81">
        <v>5</v>
      </c>
      <c r="H10" s="81">
        <v>5</v>
      </c>
      <c r="I10" s="81">
        <v>1</v>
      </c>
      <c r="J10" s="81">
        <v>5</v>
      </c>
      <c r="K10" s="81">
        <v>3</v>
      </c>
      <c r="L10" s="81">
        <v>1</v>
      </c>
      <c r="M10" s="81">
        <v>0.33333299999999999</v>
      </c>
      <c r="N10" s="81">
        <v>5</v>
      </c>
      <c r="O10" s="81">
        <v>3</v>
      </c>
      <c r="P10" s="81">
        <v>3</v>
      </c>
      <c r="Q10" s="86">
        <v>3</v>
      </c>
      <c r="R10" s="36">
        <f t="shared" si="1"/>
        <v>0.13846154911242686</v>
      </c>
      <c r="S10" s="36">
        <f t="shared" si="2"/>
        <v>0.1111111111111111</v>
      </c>
      <c r="T10" s="36">
        <f t="shared" si="3"/>
        <v>0.13846154911242686</v>
      </c>
      <c r="U10" s="36">
        <f t="shared" si="4"/>
        <v>0.11111113580247463</v>
      </c>
      <c r="V10" s="36">
        <f t="shared" si="5"/>
        <v>0.1111111111111111</v>
      </c>
      <c r="W10" s="36">
        <f t="shared" si="6"/>
        <v>0.1111111111111111</v>
      </c>
      <c r="X10" s="36">
        <f t="shared" si="7"/>
        <v>0.11111113580247463</v>
      </c>
      <c r="Y10" s="36">
        <f t="shared" si="8"/>
        <v>0.1111111111111111</v>
      </c>
      <c r="Z10" s="36">
        <f t="shared" si="9"/>
        <v>0.13846154911242686</v>
      </c>
      <c r="AA10" s="36">
        <f t="shared" si="10"/>
        <v>0.11111113580247463</v>
      </c>
      <c r="AB10" s="36">
        <f t="shared" si="11"/>
        <v>8.5158102988950199E-2</v>
      </c>
      <c r="AC10" s="36">
        <f t="shared" si="12"/>
        <v>0.1111111111111111</v>
      </c>
      <c r="AD10" s="36">
        <f t="shared" si="13"/>
        <v>0.13846154911242686</v>
      </c>
      <c r="AE10" s="36">
        <f t="shared" si="14"/>
        <v>0.13846154911242686</v>
      </c>
      <c r="AF10" s="36">
        <f t="shared" si="15"/>
        <v>0.13846154911242686</v>
      </c>
      <c r="AG10" s="39">
        <f t="shared" si="16"/>
        <v>0.12032109070843269</v>
      </c>
      <c r="AH10" s="1"/>
      <c r="AI10" s="107">
        <f t="shared" si="17"/>
        <v>1.8748402118377081</v>
      </c>
      <c r="AJ10" s="108">
        <f t="shared" si="18"/>
        <v>15.581974870730706</v>
      </c>
    </row>
    <row r="11" spans="1:42" ht="15" thickBot="1" x14ac:dyDescent="0.35">
      <c r="A11" s="1"/>
      <c r="B11" s="50" t="s">
        <v>20</v>
      </c>
      <c r="C11" s="85">
        <v>0.33333299999999999</v>
      </c>
      <c r="D11" s="81">
        <v>1</v>
      </c>
      <c r="E11" s="81">
        <v>0.33333299999999999</v>
      </c>
      <c r="F11" s="81">
        <v>0.2</v>
      </c>
      <c r="G11" s="81">
        <v>1</v>
      </c>
      <c r="H11" s="81">
        <v>1</v>
      </c>
      <c r="I11" s="81">
        <v>0.2</v>
      </c>
      <c r="J11" s="81">
        <v>1</v>
      </c>
      <c r="K11" s="81">
        <v>0.33333299999999999</v>
      </c>
      <c r="L11" s="81">
        <v>0.2</v>
      </c>
      <c r="M11" s="81">
        <v>0.14285700000000001</v>
      </c>
      <c r="N11" s="81">
        <v>1</v>
      </c>
      <c r="O11" s="81">
        <v>0.33333299999999999</v>
      </c>
      <c r="P11" s="81">
        <v>0.33333299999999999</v>
      </c>
      <c r="Q11" s="86">
        <v>0.33333299999999999</v>
      </c>
      <c r="R11" s="36">
        <f t="shared" si="1"/>
        <v>1.538460118343086E-2</v>
      </c>
      <c r="S11" s="36">
        <f t="shared" si="2"/>
        <v>2.2222222222222223E-2</v>
      </c>
      <c r="T11" s="36">
        <f t="shared" si="3"/>
        <v>1.538460118343086E-2</v>
      </c>
      <c r="U11" s="36">
        <f t="shared" si="4"/>
        <v>2.2222227160494927E-2</v>
      </c>
      <c r="V11" s="36">
        <f t="shared" si="5"/>
        <v>2.2222222222222223E-2</v>
      </c>
      <c r="W11" s="36">
        <f t="shared" si="6"/>
        <v>2.2222222222222223E-2</v>
      </c>
      <c r="X11" s="36">
        <f t="shared" si="7"/>
        <v>2.2222227160494927E-2</v>
      </c>
      <c r="Y11" s="36">
        <f t="shared" si="8"/>
        <v>2.2222222222222223E-2</v>
      </c>
      <c r="Z11" s="36">
        <f t="shared" si="9"/>
        <v>1.538460118343086E-2</v>
      </c>
      <c r="AA11" s="36">
        <f t="shared" si="10"/>
        <v>2.2222227160494927E-2</v>
      </c>
      <c r="AB11" s="36">
        <f t="shared" si="11"/>
        <v>3.6496329852407236E-2</v>
      </c>
      <c r="AC11" s="36">
        <f t="shared" si="12"/>
        <v>2.2222222222222223E-2</v>
      </c>
      <c r="AD11" s="36">
        <f t="shared" si="13"/>
        <v>1.538460118343086E-2</v>
      </c>
      <c r="AE11" s="36">
        <f t="shared" si="14"/>
        <v>1.538460118343086E-2</v>
      </c>
      <c r="AF11" s="36">
        <f t="shared" si="15"/>
        <v>1.538460118343086E-2</v>
      </c>
      <c r="AG11" s="39">
        <f t="shared" si="16"/>
        <v>2.0438781969705888E-2</v>
      </c>
      <c r="AH11" s="1"/>
      <c r="AI11" s="107">
        <f t="shared" si="17"/>
        <v>0.30993253561791123</v>
      </c>
      <c r="AJ11" s="108">
        <f t="shared" si="18"/>
        <v>15.163943530357603</v>
      </c>
    </row>
    <row r="12" spans="1:42" ht="15" thickBot="1" x14ac:dyDescent="0.35">
      <c r="A12" s="1"/>
      <c r="B12" s="48" t="s">
        <v>19</v>
      </c>
      <c r="C12" s="85">
        <v>1</v>
      </c>
      <c r="D12" s="81">
        <v>3</v>
      </c>
      <c r="E12" s="81">
        <v>1</v>
      </c>
      <c r="F12" s="81">
        <v>0.33333299999999999</v>
      </c>
      <c r="G12" s="81">
        <v>3</v>
      </c>
      <c r="H12" s="81">
        <v>3</v>
      </c>
      <c r="I12" s="81">
        <v>0.33333299999999999</v>
      </c>
      <c r="J12" s="81">
        <v>3</v>
      </c>
      <c r="K12" s="81">
        <v>1</v>
      </c>
      <c r="L12" s="81">
        <v>0.33333299999999999</v>
      </c>
      <c r="M12" s="81">
        <v>0.2</v>
      </c>
      <c r="N12" s="81">
        <v>3</v>
      </c>
      <c r="O12" s="81">
        <v>1</v>
      </c>
      <c r="P12" s="81">
        <v>1</v>
      </c>
      <c r="Q12" s="86">
        <v>1</v>
      </c>
      <c r="R12" s="36">
        <f t="shared" si="1"/>
        <v>4.615384970414229E-2</v>
      </c>
      <c r="S12" s="36">
        <f t="shared" si="2"/>
        <v>6.6666666666666666E-2</v>
      </c>
      <c r="T12" s="36">
        <f t="shared" si="3"/>
        <v>4.615384970414229E-2</v>
      </c>
      <c r="U12" s="36">
        <f t="shared" si="4"/>
        <v>3.7037008230446276E-2</v>
      </c>
      <c r="V12" s="36">
        <f t="shared" si="5"/>
        <v>6.6666666666666666E-2</v>
      </c>
      <c r="W12" s="36">
        <f t="shared" si="6"/>
        <v>6.6666666666666666E-2</v>
      </c>
      <c r="X12" s="36">
        <f t="shared" si="7"/>
        <v>3.7037008230446276E-2</v>
      </c>
      <c r="Y12" s="36">
        <f t="shared" si="8"/>
        <v>6.6666666666666666E-2</v>
      </c>
      <c r="Z12" s="36">
        <f t="shared" si="9"/>
        <v>4.615384970414229E-2</v>
      </c>
      <c r="AA12" s="36">
        <f t="shared" si="10"/>
        <v>3.7037008230446276E-2</v>
      </c>
      <c r="AB12" s="36">
        <f t="shared" si="11"/>
        <v>5.1094912888283016E-2</v>
      </c>
      <c r="AC12" s="36">
        <f t="shared" si="12"/>
        <v>6.6666666666666666E-2</v>
      </c>
      <c r="AD12" s="36">
        <f t="shared" si="13"/>
        <v>4.615384970414229E-2</v>
      </c>
      <c r="AE12" s="36">
        <f t="shared" si="14"/>
        <v>4.615384970414229E-2</v>
      </c>
      <c r="AF12" s="36">
        <f t="shared" si="15"/>
        <v>4.615384970414229E-2</v>
      </c>
      <c r="AG12" s="39">
        <f t="shared" si="16"/>
        <v>5.1497491275853922E-2</v>
      </c>
      <c r="AH12" s="1"/>
      <c r="AI12" s="107">
        <f t="shared" si="17"/>
        <v>0.78145922166226356</v>
      </c>
      <c r="AJ12" s="108">
        <f t="shared" si="18"/>
        <v>15.174704675928032</v>
      </c>
    </row>
    <row r="13" spans="1:42" ht="15" thickBot="1" x14ac:dyDescent="0.35">
      <c r="A13" s="1"/>
      <c r="B13" s="50" t="s">
        <v>32</v>
      </c>
      <c r="C13" s="85">
        <v>3</v>
      </c>
      <c r="D13" s="81">
        <v>5</v>
      </c>
      <c r="E13" s="81">
        <v>3</v>
      </c>
      <c r="F13" s="81">
        <v>1</v>
      </c>
      <c r="G13" s="81">
        <v>5</v>
      </c>
      <c r="H13" s="81">
        <v>5</v>
      </c>
      <c r="I13" s="81">
        <v>1</v>
      </c>
      <c r="J13" s="81">
        <v>5</v>
      </c>
      <c r="K13" s="81">
        <v>3</v>
      </c>
      <c r="L13" s="81">
        <v>1</v>
      </c>
      <c r="M13" s="81">
        <v>0.33333299999999999</v>
      </c>
      <c r="N13" s="81">
        <v>5</v>
      </c>
      <c r="O13" s="81">
        <v>3</v>
      </c>
      <c r="P13" s="81">
        <v>3</v>
      </c>
      <c r="Q13" s="86">
        <v>3</v>
      </c>
      <c r="R13" s="36">
        <f t="shared" si="1"/>
        <v>0.13846154911242686</v>
      </c>
      <c r="S13" s="36">
        <f t="shared" si="2"/>
        <v>0.1111111111111111</v>
      </c>
      <c r="T13" s="36">
        <f t="shared" si="3"/>
        <v>0.13846154911242686</v>
      </c>
      <c r="U13" s="36">
        <f t="shared" si="4"/>
        <v>0.11111113580247463</v>
      </c>
      <c r="V13" s="36">
        <f t="shared" si="5"/>
        <v>0.1111111111111111</v>
      </c>
      <c r="W13" s="36">
        <f t="shared" si="6"/>
        <v>0.1111111111111111</v>
      </c>
      <c r="X13" s="36">
        <f t="shared" si="7"/>
        <v>0.11111113580247463</v>
      </c>
      <c r="Y13" s="36">
        <f t="shared" si="8"/>
        <v>0.1111111111111111</v>
      </c>
      <c r="Z13" s="36">
        <f t="shared" si="9"/>
        <v>0.13846154911242686</v>
      </c>
      <c r="AA13" s="36">
        <f t="shared" si="10"/>
        <v>0.11111113580247463</v>
      </c>
      <c r="AB13" s="36">
        <f t="shared" si="11"/>
        <v>8.5158102988950199E-2</v>
      </c>
      <c r="AC13" s="36">
        <f t="shared" si="12"/>
        <v>0.1111111111111111</v>
      </c>
      <c r="AD13" s="36">
        <f t="shared" si="13"/>
        <v>0.13846154911242686</v>
      </c>
      <c r="AE13" s="36">
        <f t="shared" si="14"/>
        <v>0.13846154911242686</v>
      </c>
      <c r="AF13" s="36">
        <f t="shared" si="15"/>
        <v>0.13846154911242686</v>
      </c>
      <c r="AG13" s="39">
        <f t="shared" si="16"/>
        <v>0.12032109070843269</v>
      </c>
      <c r="AH13" s="1"/>
      <c r="AI13" s="107">
        <f t="shared" si="17"/>
        <v>1.8748402118377081</v>
      </c>
      <c r="AJ13" s="108">
        <f t="shared" si="18"/>
        <v>15.581974870730706</v>
      </c>
    </row>
    <row r="14" spans="1:42" ht="15" thickBot="1" x14ac:dyDescent="0.35">
      <c r="A14" s="1"/>
      <c r="B14" s="50" t="s">
        <v>26</v>
      </c>
      <c r="C14" s="85">
        <v>5</v>
      </c>
      <c r="D14" s="81">
        <v>7</v>
      </c>
      <c r="E14" s="81">
        <v>5</v>
      </c>
      <c r="F14" s="81">
        <v>3</v>
      </c>
      <c r="G14" s="81">
        <v>7</v>
      </c>
      <c r="H14" s="81">
        <v>7</v>
      </c>
      <c r="I14" s="81">
        <v>3</v>
      </c>
      <c r="J14" s="81">
        <v>7</v>
      </c>
      <c r="K14" s="81">
        <v>5</v>
      </c>
      <c r="L14" s="81">
        <v>3</v>
      </c>
      <c r="M14" s="81">
        <v>1</v>
      </c>
      <c r="N14" s="81">
        <v>7</v>
      </c>
      <c r="O14" s="81">
        <v>5</v>
      </c>
      <c r="P14" s="81">
        <v>5</v>
      </c>
      <c r="Q14" s="86">
        <v>5</v>
      </c>
      <c r="R14" s="36">
        <f t="shared" si="1"/>
        <v>0.23076924852071146</v>
      </c>
      <c r="S14" s="36">
        <f t="shared" si="2"/>
        <v>0.15555555555555556</v>
      </c>
      <c r="T14" s="36">
        <f t="shared" si="3"/>
        <v>0.23076924852071146</v>
      </c>
      <c r="U14" s="36">
        <f t="shared" si="4"/>
        <v>0.3333334074074239</v>
      </c>
      <c r="V14" s="36">
        <f t="shared" si="5"/>
        <v>0.15555555555555556</v>
      </c>
      <c r="W14" s="36">
        <f t="shared" si="6"/>
        <v>0.15555555555555556</v>
      </c>
      <c r="X14" s="36">
        <f t="shared" si="7"/>
        <v>0.3333334074074239</v>
      </c>
      <c r="Y14" s="36">
        <f t="shared" si="8"/>
        <v>0.15555555555555556</v>
      </c>
      <c r="Z14" s="36">
        <f t="shared" si="9"/>
        <v>0.23076924852071146</v>
      </c>
      <c r="AA14" s="36">
        <f t="shared" si="10"/>
        <v>0.3333334074074239</v>
      </c>
      <c r="AB14" s="36">
        <f t="shared" si="11"/>
        <v>0.25547456444141509</v>
      </c>
      <c r="AC14" s="36">
        <f t="shared" si="12"/>
        <v>0.15555555555555556</v>
      </c>
      <c r="AD14" s="36">
        <f t="shared" si="13"/>
        <v>0.23076924852071146</v>
      </c>
      <c r="AE14" s="36">
        <f t="shared" si="14"/>
        <v>0.23076924852071146</v>
      </c>
      <c r="AF14" s="36">
        <f t="shared" si="15"/>
        <v>0.23076924852071146</v>
      </c>
      <c r="AG14" s="39">
        <f t="shared" si="16"/>
        <v>0.22785787037104888</v>
      </c>
      <c r="AH14" s="1"/>
      <c r="AI14" s="107">
        <f t="shared" si="17"/>
        <v>3.5710297939622677</v>
      </c>
      <c r="AJ14" s="108">
        <f t="shared" si="18"/>
        <v>15.672181031741948</v>
      </c>
    </row>
    <row r="15" spans="1:42" ht="15" thickBot="1" x14ac:dyDescent="0.35">
      <c r="A15" s="1"/>
      <c r="B15" s="48" t="s">
        <v>30</v>
      </c>
      <c r="C15" s="85">
        <v>0.33333299999999999</v>
      </c>
      <c r="D15" s="81">
        <v>1</v>
      </c>
      <c r="E15" s="81">
        <v>0.33333299999999999</v>
      </c>
      <c r="F15" s="81">
        <v>0.2</v>
      </c>
      <c r="G15" s="81">
        <v>1</v>
      </c>
      <c r="H15" s="81">
        <v>1</v>
      </c>
      <c r="I15" s="81">
        <v>0.2</v>
      </c>
      <c r="J15" s="81">
        <v>1</v>
      </c>
      <c r="K15" s="81">
        <v>0.33333299999999999</v>
      </c>
      <c r="L15" s="81">
        <v>0.2</v>
      </c>
      <c r="M15" s="81">
        <v>0.14285700000000001</v>
      </c>
      <c r="N15" s="81">
        <v>1</v>
      </c>
      <c r="O15" s="81">
        <v>0.33333299999999999</v>
      </c>
      <c r="P15" s="81">
        <v>0.33333299999999999</v>
      </c>
      <c r="Q15" s="86">
        <v>0.33333299999999999</v>
      </c>
      <c r="R15" s="36">
        <f t="shared" si="1"/>
        <v>1.538460118343086E-2</v>
      </c>
      <c r="S15" s="36">
        <f t="shared" si="2"/>
        <v>2.2222222222222223E-2</v>
      </c>
      <c r="T15" s="36">
        <f t="shared" si="3"/>
        <v>1.538460118343086E-2</v>
      </c>
      <c r="U15" s="36">
        <f t="shared" si="4"/>
        <v>2.2222227160494927E-2</v>
      </c>
      <c r="V15" s="36">
        <f t="shared" si="5"/>
        <v>2.2222222222222223E-2</v>
      </c>
      <c r="W15" s="36">
        <f t="shared" si="6"/>
        <v>2.2222222222222223E-2</v>
      </c>
      <c r="X15" s="36">
        <f t="shared" si="7"/>
        <v>2.2222227160494927E-2</v>
      </c>
      <c r="Y15" s="36">
        <f t="shared" si="8"/>
        <v>2.2222222222222223E-2</v>
      </c>
      <c r="Z15" s="36">
        <f t="shared" si="9"/>
        <v>1.538460118343086E-2</v>
      </c>
      <c r="AA15" s="36">
        <f t="shared" si="10"/>
        <v>2.2222227160494927E-2</v>
      </c>
      <c r="AB15" s="36">
        <f t="shared" si="11"/>
        <v>3.6496329852407236E-2</v>
      </c>
      <c r="AC15" s="36">
        <f t="shared" si="12"/>
        <v>2.2222222222222223E-2</v>
      </c>
      <c r="AD15" s="36">
        <f t="shared" si="13"/>
        <v>1.538460118343086E-2</v>
      </c>
      <c r="AE15" s="36">
        <f t="shared" si="14"/>
        <v>1.538460118343086E-2</v>
      </c>
      <c r="AF15" s="36">
        <f t="shared" si="15"/>
        <v>1.538460118343086E-2</v>
      </c>
      <c r="AG15" s="39">
        <f t="shared" si="16"/>
        <v>2.0438781969705888E-2</v>
      </c>
      <c r="AH15" s="1"/>
      <c r="AI15" s="107">
        <f t="shared" si="17"/>
        <v>0.30993253561791123</v>
      </c>
      <c r="AJ15" s="108">
        <f t="shared" si="18"/>
        <v>15.163943530357603</v>
      </c>
    </row>
    <row r="16" spans="1:42" ht="15" thickBot="1" x14ac:dyDescent="0.35">
      <c r="A16" s="1"/>
      <c r="B16" s="50" t="s">
        <v>28</v>
      </c>
      <c r="C16" s="85">
        <v>1</v>
      </c>
      <c r="D16" s="81">
        <v>3</v>
      </c>
      <c r="E16" s="81">
        <v>1</v>
      </c>
      <c r="F16" s="81">
        <v>0.33333299999999999</v>
      </c>
      <c r="G16" s="81">
        <v>3</v>
      </c>
      <c r="H16" s="81">
        <v>3</v>
      </c>
      <c r="I16" s="81">
        <v>0.33333299999999999</v>
      </c>
      <c r="J16" s="81">
        <v>3</v>
      </c>
      <c r="K16" s="81">
        <v>1</v>
      </c>
      <c r="L16" s="81">
        <v>0.33333299999999999</v>
      </c>
      <c r="M16" s="81">
        <v>0.2</v>
      </c>
      <c r="N16" s="81">
        <v>3</v>
      </c>
      <c r="O16" s="81">
        <v>1</v>
      </c>
      <c r="P16" s="81">
        <v>1</v>
      </c>
      <c r="Q16" s="86">
        <v>1</v>
      </c>
      <c r="R16" s="36">
        <f t="shared" si="1"/>
        <v>4.615384970414229E-2</v>
      </c>
      <c r="S16" s="36">
        <f t="shared" si="2"/>
        <v>6.6666666666666666E-2</v>
      </c>
      <c r="T16" s="36">
        <f t="shared" si="3"/>
        <v>4.615384970414229E-2</v>
      </c>
      <c r="U16" s="36">
        <f t="shared" si="4"/>
        <v>3.7037008230446276E-2</v>
      </c>
      <c r="V16" s="36">
        <f t="shared" si="5"/>
        <v>6.6666666666666666E-2</v>
      </c>
      <c r="W16" s="36">
        <f t="shared" si="6"/>
        <v>6.6666666666666666E-2</v>
      </c>
      <c r="X16" s="36">
        <f t="shared" si="7"/>
        <v>3.7037008230446276E-2</v>
      </c>
      <c r="Y16" s="36">
        <f t="shared" si="8"/>
        <v>6.6666666666666666E-2</v>
      </c>
      <c r="Z16" s="36">
        <f t="shared" si="9"/>
        <v>4.615384970414229E-2</v>
      </c>
      <c r="AA16" s="36">
        <f t="shared" si="10"/>
        <v>3.7037008230446276E-2</v>
      </c>
      <c r="AB16" s="36">
        <f t="shared" si="11"/>
        <v>5.1094912888283016E-2</v>
      </c>
      <c r="AC16" s="36">
        <f t="shared" si="12"/>
        <v>6.6666666666666666E-2</v>
      </c>
      <c r="AD16" s="36">
        <f t="shared" si="13"/>
        <v>4.615384970414229E-2</v>
      </c>
      <c r="AE16" s="36">
        <f t="shared" si="14"/>
        <v>4.615384970414229E-2</v>
      </c>
      <c r="AF16" s="36">
        <f t="shared" si="15"/>
        <v>4.615384970414229E-2</v>
      </c>
      <c r="AG16" s="39">
        <f t="shared" si="16"/>
        <v>5.1497491275853922E-2</v>
      </c>
      <c r="AH16" s="1"/>
      <c r="AI16" s="107">
        <f t="shared" si="17"/>
        <v>0.78145922166226356</v>
      </c>
      <c r="AJ16" s="108">
        <f t="shared" si="18"/>
        <v>15.174704675928032</v>
      </c>
    </row>
    <row r="17" spans="1:36" ht="15" thickBot="1" x14ac:dyDescent="0.35">
      <c r="A17" s="1"/>
      <c r="B17" s="50" t="s">
        <v>23</v>
      </c>
      <c r="C17" s="85">
        <v>1</v>
      </c>
      <c r="D17" s="81">
        <v>3</v>
      </c>
      <c r="E17" s="81">
        <v>1</v>
      </c>
      <c r="F17" s="81">
        <v>0.33333299999999999</v>
      </c>
      <c r="G17" s="81">
        <v>3</v>
      </c>
      <c r="H17" s="81">
        <v>3</v>
      </c>
      <c r="I17" s="81">
        <v>0.33333299999999999</v>
      </c>
      <c r="J17" s="81">
        <v>3</v>
      </c>
      <c r="K17" s="81">
        <v>1</v>
      </c>
      <c r="L17" s="81">
        <v>0.33333299999999999</v>
      </c>
      <c r="M17" s="81">
        <v>0.2</v>
      </c>
      <c r="N17" s="81">
        <v>3</v>
      </c>
      <c r="O17" s="81">
        <v>1</v>
      </c>
      <c r="P17" s="81">
        <v>1</v>
      </c>
      <c r="Q17" s="86">
        <v>1</v>
      </c>
      <c r="R17" s="36">
        <f t="shared" si="1"/>
        <v>4.615384970414229E-2</v>
      </c>
      <c r="S17" s="36">
        <f t="shared" si="2"/>
        <v>6.6666666666666666E-2</v>
      </c>
      <c r="T17" s="36">
        <f t="shared" si="3"/>
        <v>4.615384970414229E-2</v>
      </c>
      <c r="U17" s="36">
        <f t="shared" si="4"/>
        <v>3.7037008230446276E-2</v>
      </c>
      <c r="V17" s="36">
        <f t="shared" si="5"/>
        <v>6.6666666666666666E-2</v>
      </c>
      <c r="W17" s="36">
        <f t="shared" si="6"/>
        <v>6.6666666666666666E-2</v>
      </c>
      <c r="X17" s="36">
        <f t="shared" si="7"/>
        <v>3.7037008230446276E-2</v>
      </c>
      <c r="Y17" s="36">
        <f t="shared" si="8"/>
        <v>6.6666666666666666E-2</v>
      </c>
      <c r="Z17" s="36">
        <f t="shared" si="9"/>
        <v>4.615384970414229E-2</v>
      </c>
      <c r="AA17" s="36">
        <f t="shared" si="10"/>
        <v>3.7037008230446276E-2</v>
      </c>
      <c r="AB17" s="36">
        <f t="shared" si="11"/>
        <v>5.1094912888283016E-2</v>
      </c>
      <c r="AC17" s="36">
        <f t="shared" si="12"/>
        <v>6.6666666666666666E-2</v>
      </c>
      <c r="AD17" s="36">
        <f t="shared" si="13"/>
        <v>4.615384970414229E-2</v>
      </c>
      <c r="AE17" s="36">
        <f t="shared" si="14"/>
        <v>4.615384970414229E-2</v>
      </c>
      <c r="AF17" s="36">
        <f t="shared" si="15"/>
        <v>4.615384970414229E-2</v>
      </c>
      <c r="AG17" s="39">
        <f t="shared" si="16"/>
        <v>5.1497491275853922E-2</v>
      </c>
      <c r="AH17" s="1"/>
      <c r="AI17" s="107">
        <f t="shared" si="17"/>
        <v>0.78145922166226356</v>
      </c>
      <c r="AJ17" s="108">
        <f t="shared" si="18"/>
        <v>15.174704675928032</v>
      </c>
    </row>
    <row r="18" spans="1:36" ht="15" thickBot="1" x14ac:dyDescent="0.35">
      <c r="A18" s="1"/>
      <c r="B18" s="48" t="s">
        <v>21</v>
      </c>
      <c r="C18" s="87">
        <v>1</v>
      </c>
      <c r="D18" s="88">
        <v>3</v>
      </c>
      <c r="E18" s="88">
        <v>1</v>
      </c>
      <c r="F18" s="88">
        <v>0.33333299999999999</v>
      </c>
      <c r="G18" s="88">
        <v>3</v>
      </c>
      <c r="H18" s="88">
        <v>3</v>
      </c>
      <c r="I18" s="88">
        <v>0.33333299999999999</v>
      </c>
      <c r="J18" s="88">
        <v>3</v>
      </c>
      <c r="K18" s="88">
        <v>1</v>
      </c>
      <c r="L18" s="88">
        <v>0.33333299999999999</v>
      </c>
      <c r="M18" s="88">
        <v>0.2</v>
      </c>
      <c r="N18" s="88">
        <v>3</v>
      </c>
      <c r="O18" s="88">
        <v>1</v>
      </c>
      <c r="P18" s="88">
        <v>1</v>
      </c>
      <c r="Q18" s="89">
        <v>1</v>
      </c>
      <c r="R18" s="36">
        <f t="shared" si="1"/>
        <v>4.615384970414229E-2</v>
      </c>
      <c r="S18" s="36">
        <f t="shared" si="2"/>
        <v>6.6666666666666666E-2</v>
      </c>
      <c r="T18" s="36">
        <f t="shared" si="3"/>
        <v>4.615384970414229E-2</v>
      </c>
      <c r="U18" s="36">
        <f t="shared" si="4"/>
        <v>3.7037008230446276E-2</v>
      </c>
      <c r="V18" s="36">
        <f t="shared" si="5"/>
        <v>6.6666666666666666E-2</v>
      </c>
      <c r="W18" s="36">
        <f t="shared" si="6"/>
        <v>6.6666666666666666E-2</v>
      </c>
      <c r="X18" s="36">
        <f t="shared" si="7"/>
        <v>3.7037008230446276E-2</v>
      </c>
      <c r="Y18" s="36">
        <f t="shared" si="8"/>
        <v>6.6666666666666666E-2</v>
      </c>
      <c r="Z18" s="36">
        <f t="shared" si="9"/>
        <v>4.615384970414229E-2</v>
      </c>
      <c r="AA18" s="36">
        <f t="shared" si="10"/>
        <v>3.7037008230446276E-2</v>
      </c>
      <c r="AB18" s="36">
        <f t="shared" si="11"/>
        <v>5.1094912888283016E-2</v>
      </c>
      <c r="AC18" s="36">
        <f t="shared" si="12"/>
        <v>6.6666666666666666E-2</v>
      </c>
      <c r="AD18" s="36">
        <f t="shared" si="13"/>
        <v>4.615384970414229E-2</v>
      </c>
      <c r="AE18" s="36">
        <f t="shared" si="14"/>
        <v>4.615384970414229E-2</v>
      </c>
      <c r="AF18" s="36">
        <f t="shared" si="15"/>
        <v>4.615384970414229E-2</v>
      </c>
      <c r="AG18" s="38">
        <f t="shared" si="16"/>
        <v>5.1497491275853922E-2</v>
      </c>
      <c r="AH18" s="1"/>
      <c r="AI18" s="107">
        <f t="shared" si="17"/>
        <v>0.78145922166226356</v>
      </c>
      <c r="AJ18" s="108">
        <f t="shared" si="18"/>
        <v>15.174704675928032</v>
      </c>
    </row>
    <row r="19" spans="1:36" ht="14.5" thickBot="1" x14ac:dyDescent="0.35">
      <c r="A19" s="1"/>
      <c r="B19" s="23" t="s">
        <v>7</v>
      </c>
      <c r="C19" s="40">
        <f>SUM(C4:C18)</f>
        <v>21.666664999999998</v>
      </c>
      <c r="D19" s="40">
        <f t="shared" ref="D19:Q19" si="19">SUM(D4:D18)</f>
        <v>45</v>
      </c>
      <c r="E19" s="40">
        <f t="shared" si="19"/>
        <v>21.666664999999998</v>
      </c>
      <c r="F19" s="40">
        <f t="shared" si="19"/>
        <v>8.9999979999999997</v>
      </c>
      <c r="G19" s="40">
        <f t="shared" si="19"/>
        <v>45</v>
      </c>
      <c r="H19" s="40">
        <f t="shared" si="19"/>
        <v>45</v>
      </c>
      <c r="I19" s="40">
        <f t="shared" si="19"/>
        <v>8.9999979999999997</v>
      </c>
      <c r="J19" s="40">
        <f t="shared" si="19"/>
        <v>45</v>
      </c>
      <c r="K19" s="40">
        <f t="shared" si="19"/>
        <v>21.666664999999998</v>
      </c>
      <c r="L19" s="40">
        <f t="shared" si="19"/>
        <v>8.9999979999999997</v>
      </c>
      <c r="M19" s="40">
        <f t="shared" si="19"/>
        <v>3.9142840000000003</v>
      </c>
      <c r="N19" s="40">
        <f t="shared" si="19"/>
        <v>45</v>
      </c>
      <c r="O19" s="40">
        <f t="shared" si="19"/>
        <v>21.666664999999998</v>
      </c>
      <c r="P19" s="40">
        <f t="shared" si="19"/>
        <v>21.666664999999998</v>
      </c>
      <c r="Q19" s="40">
        <f t="shared" si="19"/>
        <v>21.666664999999998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6" ht="14.5" thickBot="1" x14ac:dyDescent="0.35">
      <c r="B20" s="130" t="s">
        <v>9</v>
      </c>
      <c r="C20" s="131">
        <f>AG4</f>
        <v>5.1497491275853922E-2</v>
      </c>
      <c r="D20" s="131">
        <f>AG5</f>
        <v>2.0438781969705888E-2</v>
      </c>
      <c r="E20" s="131">
        <f>AG6</f>
        <v>5.1497491275853922E-2</v>
      </c>
      <c r="F20" s="131">
        <f>AG7</f>
        <v>0.12032109070843269</v>
      </c>
      <c r="G20" s="131">
        <f>AG8</f>
        <v>2.0438781969705888E-2</v>
      </c>
      <c r="H20" s="131">
        <f>AG9</f>
        <v>2.0438781969705888E-2</v>
      </c>
      <c r="I20" s="131">
        <f>AG10</f>
        <v>0.12032109070843269</v>
      </c>
      <c r="J20" s="131">
        <f>AG11</f>
        <v>2.0438781969705888E-2</v>
      </c>
      <c r="K20" s="131">
        <f>AG12</f>
        <v>5.1497491275853922E-2</v>
      </c>
      <c r="L20" s="131">
        <f>AG13</f>
        <v>0.12032109070843269</v>
      </c>
      <c r="M20" s="131">
        <f>AG14</f>
        <v>0.22785787037104888</v>
      </c>
      <c r="N20" s="131">
        <f>AG15</f>
        <v>2.0438781969705888E-2</v>
      </c>
      <c r="O20" s="131">
        <f>AG16</f>
        <v>5.1497491275853922E-2</v>
      </c>
      <c r="P20" s="131">
        <f>AG17</f>
        <v>5.1497491275853922E-2</v>
      </c>
      <c r="Q20" s="132">
        <f>AG18</f>
        <v>5.1497491275853922E-2</v>
      </c>
    </row>
  </sheetData>
  <mergeCells count="2">
    <mergeCell ref="B2:AG2"/>
    <mergeCell ref="R3:AF3"/>
  </mergeCells>
  <conditionalFormatting sqref="AP4">
    <cfRule type="cellIs" dxfId="1" priority="1" operator="greaterThan">
      <formula>0.1</formula>
    </cfRule>
    <cfRule type="cellIs" dxfId="0" priority="2" operator="lessThan">
      <formula>0.1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47462F-DE1C-445D-9EE8-6F9C4D23FD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Inicio TOPSIS</vt:lpstr>
      <vt:lpstr>C.Tec.</vt:lpstr>
      <vt:lpstr>C.Eco.</vt:lpstr>
      <vt:lpstr>C.Soc.</vt:lpstr>
      <vt:lpstr>C.Amb.</vt:lpstr>
      <vt:lpstr>C.Com.</vt:lpstr>
      <vt:lpstr>Inicio AHP</vt:lpstr>
      <vt:lpstr>C. Téc.</vt:lpstr>
      <vt:lpstr>C. Eco.</vt:lpstr>
      <vt:lpstr>C. So.</vt:lpstr>
      <vt:lpstr>C. Am.</vt:lpstr>
      <vt:lpstr>C. Com.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Gonzalez Ortiz</dc:creator>
  <cp:lastModifiedBy>Ricardo Gonzalez Ortiz</cp:lastModifiedBy>
  <dcterms:created xsi:type="dcterms:W3CDTF">2025-06-18T13:48:31Z</dcterms:created>
  <dcterms:modified xsi:type="dcterms:W3CDTF">2025-11-18T13:41:37Z</dcterms:modified>
</cp:coreProperties>
</file>